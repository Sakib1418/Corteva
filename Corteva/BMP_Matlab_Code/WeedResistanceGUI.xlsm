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drawings/drawing11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2" windowWidth="20112" windowHeight="7932" tabRatio="683" activeTab="1"/>
  </bookViews>
  <sheets>
    <sheet name="Menu" sheetId="4" r:id="rId1"/>
    <sheet name="Management Practices" sheetId="6" r:id="rId2"/>
    <sheet name="Herbicide Parameters" sheetId="5" r:id="rId3"/>
    <sheet name="Main Parameters" sheetId="1" r:id="rId4"/>
    <sheet name="Database" sheetId="3" r:id="rId5"/>
    <sheet name="Results" sheetId="7" r:id="rId6"/>
    <sheet name="Resistance Curves" sheetId="12" r:id="rId7"/>
    <sheet name="Resistance Probability" sheetId="14" r:id="rId8"/>
    <sheet name="Risk Histogram" sheetId="13" r:id="rId9"/>
    <sheet name="Dose-Response Parameters" sheetId="8" state="hidden" r:id="rId10"/>
    <sheet name="Default Parameter Values" sheetId="9" state="hidden" r:id="rId11"/>
  </sheets>
  <functionGroups builtInGroupCount="17"/>
  <definedNames>
    <definedName name="Time2Resistance">Results!$E$18:$G$26</definedName>
  </definedNames>
  <calcPr calcId="145621" concurrentCalc="0"/>
</workbook>
</file>

<file path=xl/calcChain.xml><?xml version="1.0" encoding="utf-8"?>
<calcChain xmlns="http://schemas.openxmlformats.org/spreadsheetml/2006/main">
  <c r="R19" i="7" l="1"/>
  <c r="S19" i="7"/>
  <c r="R20" i="7"/>
  <c r="S20" i="7"/>
  <c r="R18" i="7"/>
  <c r="S18" i="7"/>
  <c r="O20" i="7"/>
  <c r="O21" i="7"/>
  <c r="O22" i="7"/>
  <c r="O23" i="7"/>
  <c r="O24" i="7"/>
  <c r="O25" i="7"/>
  <c r="O26" i="7"/>
  <c r="O27" i="7"/>
  <c r="O19" i="7"/>
  <c r="O18" i="7"/>
  <c r="C25" i="9"/>
</calcChain>
</file>

<file path=xl/sharedStrings.xml><?xml version="1.0" encoding="utf-8"?>
<sst xmlns="http://schemas.openxmlformats.org/spreadsheetml/2006/main" count="214" uniqueCount="148">
  <si>
    <t>General parameters</t>
  </si>
  <si>
    <t>Years to run simulation</t>
  </si>
  <si>
    <t>Number of gene loci</t>
  </si>
  <si>
    <t>Seed delay</t>
  </si>
  <si>
    <t>Initial conditions</t>
  </si>
  <si>
    <t>Germination survival fraction</t>
  </si>
  <si>
    <t>Hand removal survival fraction</t>
  </si>
  <si>
    <t>Crop competition parameter</t>
  </si>
  <si>
    <t>Weed competition coefficient</t>
  </si>
  <si>
    <t>Germination parameters</t>
  </si>
  <si>
    <t>Growth to maturity parameters</t>
  </si>
  <si>
    <t>Seed production parameters</t>
  </si>
  <si>
    <t>Mutation parameters</t>
  </si>
  <si>
    <t>R to S mutation probability</t>
  </si>
  <si>
    <t>S to R mutation probability</t>
  </si>
  <si>
    <t>Predation fraction</t>
  </si>
  <si>
    <t>Predation parameters</t>
  </si>
  <si>
    <t>Winter parameters</t>
  </si>
  <si>
    <t xml:space="preserve"> Life cycle parameters</t>
  </si>
  <si>
    <t>Growth to maturity</t>
  </si>
  <si>
    <t>Seed production</t>
  </si>
  <si>
    <t>Mutation</t>
  </si>
  <si>
    <t>Winter</t>
  </si>
  <si>
    <t>Predation</t>
  </si>
  <si>
    <t>Germination</t>
  </si>
  <si>
    <t>Hand removal</t>
  </si>
  <si>
    <t>Main menu</t>
  </si>
  <si>
    <t>Herbicide Application</t>
  </si>
  <si>
    <t>SS Efficacy</t>
  </si>
  <si>
    <t>RS Efficacy</t>
  </si>
  <si>
    <t>RR Efficacy</t>
  </si>
  <si>
    <t>Weed Herbicide Resistance Simulation</t>
  </si>
  <si>
    <t>Number of simulations</t>
  </si>
  <si>
    <t>Seed density</t>
  </si>
  <si>
    <t>Upper seed bank</t>
  </si>
  <si>
    <t>Lower seed bank</t>
  </si>
  <si>
    <t>Selfing coefficient</t>
  </si>
  <si>
    <t>Cohorts (per year)</t>
  </si>
  <si>
    <r>
      <t>Field area (m</t>
    </r>
    <r>
      <rPr>
        <b/>
        <vertAlign val="superscript"/>
        <sz val="10"/>
        <color theme="0"/>
        <rFont val="Calibri"/>
        <family val="2"/>
        <scheme val="minor"/>
      </rPr>
      <t>2</t>
    </r>
    <r>
      <rPr>
        <b/>
        <sz val="10"/>
        <color theme="0"/>
        <rFont val="Calibri"/>
        <family val="2"/>
        <scheme val="minor"/>
      </rPr>
      <t>)</t>
    </r>
  </si>
  <si>
    <t>Resistance metrics</t>
  </si>
  <si>
    <t>Onset of resistance threshold</t>
  </si>
  <si>
    <t>Year</t>
  </si>
  <si>
    <t>Cultivation</t>
  </si>
  <si>
    <t>Herbicide 1</t>
  </si>
  <si>
    <t>Herbicide 2</t>
  </si>
  <si>
    <t>Herbicide 3</t>
  </si>
  <si>
    <t>Herbicide 4</t>
  </si>
  <si>
    <t>Summary</t>
  </si>
  <si>
    <t>Critical resistance threshold</t>
  </si>
  <si>
    <t>Complete resistance threshold</t>
  </si>
  <si>
    <t>Herbicide 1 Application Rate Fraction</t>
  </si>
  <si>
    <t>Herbicide 2 Application Rate Fraction</t>
  </si>
  <si>
    <t>Herbicide 3 Application Rate Fraction</t>
  </si>
  <si>
    <t>Herbicide 4 Application Rate Fraction</t>
  </si>
  <si>
    <t>Parameter</t>
  </si>
  <si>
    <t>Max. number of seeds produced per plant</t>
  </si>
  <si>
    <t>Default Main Parameter Values</t>
  </si>
  <si>
    <r>
      <t>Field area (m</t>
    </r>
    <r>
      <rPr>
        <vertAlign val="superscript"/>
        <sz val="10"/>
        <color theme="0"/>
        <rFont val="Calibri"/>
        <family val="2"/>
        <scheme val="minor"/>
      </rPr>
      <t>2</t>
    </r>
    <r>
      <rPr>
        <sz val="10"/>
        <color theme="0"/>
        <rFont val="Calibri"/>
        <family val="2"/>
        <scheme val="minor"/>
      </rPr>
      <t>)</t>
    </r>
  </si>
  <si>
    <t>Target Locus</t>
  </si>
  <si>
    <t>b</t>
  </si>
  <si>
    <t>c</t>
  </si>
  <si>
    <t>d-c</t>
  </si>
  <si>
    <r>
      <t>SS ED</t>
    </r>
    <r>
      <rPr>
        <b/>
        <vertAlign val="subscript"/>
        <sz val="10"/>
        <color theme="0"/>
        <rFont val="Calibri"/>
        <family val="2"/>
        <scheme val="minor"/>
      </rPr>
      <t>50</t>
    </r>
  </si>
  <si>
    <r>
      <t>RS ED</t>
    </r>
    <r>
      <rPr>
        <b/>
        <vertAlign val="subscript"/>
        <sz val="10"/>
        <color theme="0"/>
        <rFont val="Calibri"/>
        <family val="2"/>
        <scheme val="minor"/>
      </rPr>
      <t>50</t>
    </r>
  </si>
  <si>
    <r>
      <t>RR ED</t>
    </r>
    <r>
      <rPr>
        <b/>
        <vertAlign val="subscript"/>
        <sz val="10"/>
        <color theme="0"/>
        <rFont val="Calibri"/>
        <family val="2"/>
        <scheme val="minor"/>
      </rPr>
      <t>50</t>
    </r>
  </si>
  <si>
    <t>Dose-Response Logistic Sigmoid Parameters</t>
  </si>
  <si>
    <t>Cultivation survival fraction</t>
  </si>
  <si>
    <t>Default</t>
  </si>
  <si>
    <t>With Management</t>
  </si>
  <si>
    <t>Management Practice Parameter Values</t>
  </si>
  <si>
    <t>Germination survival fractopm</t>
  </si>
  <si>
    <t>Weed competition parameter</t>
  </si>
  <si>
    <t>Max number of seeds produced per plant</t>
  </si>
  <si>
    <t>Predation survival fraction</t>
  </si>
  <si>
    <t>Upper seed bank
survival fraction</t>
  </si>
  <si>
    <t>Upper survival fraction</t>
  </si>
  <si>
    <t>Lower survival fraction</t>
  </si>
  <si>
    <t>Upper survival fration</t>
  </si>
  <si>
    <t>Lower survival fration</t>
  </si>
  <si>
    <t>Lower seed bank
survival fraction</t>
  </si>
  <si>
    <t>Resistant allele 1 frequency</t>
  </si>
  <si>
    <t>Resistant allele 2 frequency</t>
  </si>
  <si>
    <t>Resistant allele 3 frequency</t>
  </si>
  <si>
    <t>Resistant allele 4 frequency</t>
  </si>
  <si>
    <t>Locus 1</t>
  </si>
  <si>
    <t>Locus 2</t>
  </si>
  <si>
    <t>Locus 3</t>
  </si>
  <si>
    <t>Locus 4</t>
  </si>
  <si>
    <t>Locus 1: R to S mutation probability</t>
  </si>
  <si>
    <t>Locus 1: S to R mutation probability</t>
  </si>
  <si>
    <t>Locus 2: R to S mutation probability</t>
  </si>
  <si>
    <t>Locus 2: S to R mutation probability</t>
  </si>
  <si>
    <t>Locus 3: R to S mutation probability</t>
  </si>
  <si>
    <t>Locus 3: S to R mutation probability</t>
  </si>
  <si>
    <t>Locus 4: R to S mutation probability</t>
  </si>
  <si>
    <t>Locus 4: S to R mutation probability</t>
  </si>
  <si>
    <t>Growth parameter</t>
  </si>
  <si>
    <t>Weed  growth competition coefficient</t>
  </si>
  <si>
    <t>Locus 1: 
R to S</t>
  </si>
  <si>
    <t>Locus 1: 
S to R</t>
  </si>
  <si>
    <t>Locus 2: 
R to S</t>
  </si>
  <si>
    <t>Locus 2: 
S to R</t>
  </si>
  <si>
    <t>Locus 3: 
R to S</t>
  </si>
  <si>
    <t>Locus 3: 
S to R</t>
  </si>
  <si>
    <t>Locus 4: 
R to S</t>
  </si>
  <si>
    <t>Locus 4: 
S to R</t>
  </si>
  <si>
    <t>Probability of exceeding resistance onset threshold</t>
  </si>
  <si>
    <t>Probability of exceeding critical resistance threshold</t>
  </si>
  <si>
    <t>Probability of exceeding total resistance threshold</t>
  </si>
  <si>
    <t>Individual simulation results</t>
  </si>
  <si>
    <t>Median resistance onset time (years)</t>
  </si>
  <si>
    <t>Median critical resistance time (years)</t>
  </si>
  <si>
    <t>Median total resistance time (years)</t>
  </si>
  <si>
    <t>Cultivation (0 or 1)</t>
  </si>
  <si>
    <t>Hand Weeding 
(0 or 1)</t>
  </si>
  <si>
    <t>Tilling 
(0 or 1)</t>
  </si>
  <si>
    <t>Cover Crop
(0 or 1)</t>
  </si>
  <si>
    <t>Run #</t>
  </si>
  <si>
    <t>Histogram data</t>
  </si>
  <si>
    <t>Count</t>
  </si>
  <si>
    <t>Bin range</t>
  </si>
  <si>
    <t>Bin min</t>
  </si>
  <si>
    <t>Bin max</t>
  </si>
  <si>
    <t>0 - 0.1</t>
  </si>
  <si>
    <t>0.1 - 0.2</t>
  </si>
  <si>
    <t>0.2 - 0.3</t>
  </si>
  <si>
    <t>0.3 - 0.4</t>
  </si>
  <si>
    <t>0.4 - 0.5</t>
  </si>
  <si>
    <t>0.5 - 0.6</t>
  </si>
  <si>
    <t>0.6 - 0.7</t>
  </si>
  <si>
    <t>0.7 - 0.8</t>
  </si>
  <si>
    <t>0.8 - 0.9</t>
  </si>
  <si>
    <t>0.9 - 1</t>
  </si>
  <si>
    <t>Min resistance</t>
  </si>
  <si>
    <t>10th percentile</t>
  </si>
  <si>
    <t>Median resistance</t>
  </si>
  <si>
    <t>90th percentile</t>
  </si>
  <si>
    <t>Max resistance</t>
  </si>
  <si>
    <t>Resistance in time percentile Data (simulations where final resistant fraction exceeded Onset Resistance threshold)</t>
  </si>
  <si>
    <t>Average risk integral</t>
  </si>
  <si>
    <t>Risk integral</t>
  </si>
  <si>
    <t>Pie chart data</t>
  </si>
  <si>
    <t>Resistance Threshold Exceeded</t>
  </si>
  <si>
    <t>Resistance Threshold Not Exceeded</t>
  </si>
  <si>
    <t>RO</t>
  </si>
  <si>
    <t>CR</t>
  </si>
  <si>
    <t>TR</t>
  </si>
  <si>
    <t>Fraction 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</si>
</sst>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E+00"/>
    <numFmt numFmtId="166" formatCode="0.0000"/>
    <numFmt numFmtId="167" formatCode="0.0E+00"/>
  </numFmts>
  <fonts count="22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vertAlign val="superscript"/>
      <sz val="10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vertAlign val="superscript"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F497D"/>
        <bgColor theme="9"/>
      </patternFill>
    </fill>
    <fill>
      <patternFill patternType="solid">
        <fgColor theme="3"/>
        <bgColor theme="9"/>
      </patternFill>
    </fill>
    <fill>
      <patternFill patternType="solid">
        <fgColor theme="0" tint="-0.14999847407452621"/>
        <bgColor theme="9" tint="0.59999389629810485"/>
      </patternFill>
    </fill>
    <fill>
      <patternFill patternType="solid">
        <fgColor rgb="FFD9D9D9"/>
        <bgColor theme="9" tint="0.59999389629810485"/>
      </patternFill>
    </fill>
    <fill>
      <patternFill patternType="solid">
        <fgColor theme="4" tint="0.79998168889431442"/>
        <bgColor theme="9" tint="0.79998168889431442"/>
      </patternFill>
    </fill>
    <fill>
      <patternFill patternType="solid">
        <fgColor rgb="FF1F497D"/>
        <bgColor indexed="64"/>
      </patternFill>
    </fill>
    <fill>
      <patternFill patternType="solid">
        <fgColor rgb="FF1F497D"/>
        <bgColor theme="1"/>
      </patternFill>
    </fill>
    <fill>
      <patternFill patternType="solid">
        <fgColor rgb="FFD9D9D9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497D"/>
        <bgColor theme="9" tint="0.59999389629810485"/>
      </patternFill>
    </fill>
    <fill>
      <patternFill patternType="solid">
        <fgColor rgb="FF1F497D"/>
        <bgColor theme="9" tint="0.79998168889431442"/>
      </patternFill>
    </fill>
    <fill>
      <patternFill patternType="solid">
        <fgColor theme="4" tint="0.59999389629810485"/>
        <bgColor theme="9" tint="0.59999389629810485"/>
      </patternFill>
    </fill>
    <fill>
      <patternFill patternType="solid">
        <fgColor theme="4" tint="0.59999389629810485"/>
        <bgColor theme="9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9" tint="0.79998168889431442"/>
      </patternFill>
    </fill>
    <fill>
      <patternFill patternType="solid">
        <fgColor theme="0" tint="-0.499984740745262"/>
        <bgColor theme="9" tint="0.79998168889431442"/>
      </patternFill>
    </fill>
    <fill>
      <patternFill patternType="solid">
        <fgColor theme="1" tint="4.9989318521683403E-2"/>
        <bgColor theme="9"/>
      </patternFill>
    </fill>
    <fill>
      <patternFill patternType="solid">
        <fgColor theme="4" tint="0.79998168889431442"/>
        <bgColor theme="9" tint="0.59999389629810485"/>
      </patternFill>
    </fill>
    <fill>
      <patternFill patternType="solid">
        <fgColor rgb="FFD9D9D9"/>
        <bgColor theme="9" tint="0.79998168889431442"/>
      </patternFill>
    </fill>
    <fill>
      <patternFill patternType="solid">
        <fgColor theme="8" tint="0.79998168889431442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theme="9" tint="0.79998168889431442"/>
      </patternFill>
    </fill>
    <fill>
      <patternFill patternType="solid">
        <fgColor theme="1" tint="0.34998626667073579"/>
        <bgColor theme="9" tint="0.79998168889431442"/>
      </patternFill>
    </fill>
    <fill>
      <patternFill patternType="solid">
        <fgColor theme="3" tint="0.59999389629810485"/>
        <bgColor indexed="64"/>
      </patternFill>
    </fill>
  </fills>
  <borders count="75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ck">
        <color theme="0"/>
      </bottom>
      <diagonal/>
    </border>
    <border>
      <left/>
      <right style="thin">
        <color auto="1"/>
      </right>
      <top/>
      <bottom style="thick">
        <color theme="0"/>
      </bottom>
      <diagonal/>
    </border>
    <border>
      <left style="thin">
        <color auto="1"/>
      </left>
      <right/>
      <top style="thick">
        <color theme="0"/>
      </top>
      <bottom/>
      <diagonal/>
    </border>
    <border>
      <left/>
      <right style="thin">
        <color auto="1"/>
      </right>
      <top style="thick">
        <color theme="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FFFFFF"/>
      </right>
      <top/>
      <bottom/>
      <diagonal/>
    </border>
    <border>
      <left/>
      <right/>
      <top style="thin">
        <color rgb="FFFFFFFF"/>
      </top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theme="0"/>
      </top>
      <bottom style="thin">
        <color rgb="FFFFFFFF"/>
      </bottom>
      <diagonal/>
    </border>
    <border>
      <left/>
      <right/>
      <top style="thin">
        <color theme="0"/>
      </top>
      <bottom style="thin">
        <color rgb="FFFFFFFF"/>
      </bottom>
      <diagonal/>
    </border>
    <border>
      <left/>
      <right style="thin">
        <color rgb="FFFFFFFF"/>
      </right>
      <top style="thin">
        <color theme="0"/>
      </top>
      <bottom style="thin">
        <color rgb="FFFFFFFF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/>
      <right style="hair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rgb="FFFFFFFF"/>
      </bottom>
      <diagonal/>
    </border>
    <border>
      <left style="thin">
        <color theme="0"/>
      </left>
      <right/>
      <top/>
      <bottom style="thin">
        <color rgb="FFFFFFFF"/>
      </bottom>
      <diagonal/>
    </border>
    <border>
      <left/>
      <right style="thin">
        <color theme="0"/>
      </right>
      <top/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ck">
        <color theme="0"/>
      </bottom>
      <diagonal/>
    </border>
    <border>
      <left/>
      <right/>
      <top style="thin">
        <color auto="1"/>
      </top>
      <bottom style="thick">
        <color theme="0"/>
      </bottom>
      <diagonal/>
    </border>
    <border>
      <left/>
      <right style="thin">
        <color auto="1"/>
      </right>
      <top style="thin">
        <color auto="1"/>
      </top>
      <bottom style="thick">
        <color theme="0"/>
      </bottom>
      <diagonal/>
    </border>
    <border>
      <left style="thin">
        <color auto="1"/>
      </left>
      <right/>
      <top/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 style="thin">
        <color rgb="FFFFFFFF"/>
      </top>
      <bottom/>
      <diagonal/>
    </border>
    <border>
      <left style="thin">
        <color auto="1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auto="1"/>
      </left>
      <right/>
      <top style="thin">
        <color theme="0"/>
      </top>
      <bottom/>
      <diagonal/>
    </border>
    <border>
      <left/>
      <right style="thin">
        <color auto="1"/>
      </right>
      <top style="thin">
        <color theme="0"/>
      </top>
      <bottom style="thin">
        <color auto="1"/>
      </bottom>
      <diagonal/>
    </border>
    <border>
      <left style="hair">
        <color theme="0"/>
      </left>
      <right/>
      <top style="hair">
        <color theme="0"/>
      </top>
      <bottom style="thick">
        <color theme="0"/>
      </bottom>
      <diagonal/>
    </border>
    <border>
      <left/>
      <right/>
      <top style="hair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rgb="FFFFFFFF"/>
      </bottom>
      <diagonal/>
    </border>
    <border>
      <left style="hair">
        <color theme="0"/>
      </left>
      <right/>
      <top/>
      <bottom/>
      <diagonal/>
    </border>
    <border>
      <left style="thin">
        <color rgb="FFFFFFFF"/>
      </left>
      <right/>
      <top/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235">
    <xf numFmtId="0" fontId="0" fillId="0" borderId="0" xfId="0"/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/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9" borderId="13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1" fontId="2" fillId="7" borderId="4" xfId="0" applyNumberFormat="1" applyFont="1" applyFill="1" applyBorder="1" applyAlignment="1" applyProtection="1">
      <alignment horizontal="center" vertical="center" wrapText="1"/>
      <protection locked="0"/>
    </xf>
    <xf numFmtId="1" fontId="2" fillId="6" borderId="2" xfId="0" applyNumberFormat="1" applyFont="1" applyFill="1" applyBorder="1" applyAlignment="1" applyProtection="1">
      <alignment horizontal="center" vertical="center" wrapText="1"/>
      <protection locked="0"/>
    </xf>
    <xf numFmtId="2" fontId="2" fillId="7" borderId="0" xfId="0" applyNumberFormat="1" applyFont="1" applyFill="1" applyBorder="1" applyAlignment="1" applyProtection="1">
      <alignment horizontal="center" vertical="center" wrapText="1"/>
      <protection locked="0"/>
    </xf>
    <xf numFmtId="2" fontId="2" fillId="8" borderId="6" xfId="0" applyNumberFormat="1" applyFont="1" applyFill="1" applyBorder="1" applyAlignment="1" applyProtection="1">
      <alignment horizontal="center" vertical="center" wrapText="1"/>
      <protection locked="0"/>
    </xf>
    <xf numFmtId="2" fontId="2" fillId="6" borderId="6" xfId="0" applyNumberFormat="1" applyFont="1" applyFill="1" applyBorder="1" applyAlignment="1" applyProtection="1">
      <alignment horizontal="center" vertical="center" wrapText="1"/>
      <protection locked="0"/>
    </xf>
    <xf numFmtId="164" fontId="2" fillId="8" borderId="2" xfId="0" applyNumberFormat="1" applyFont="1" applyFill="1" applyBorder="1" applyAlignment="1" applyProtection="1">
      <alignment horizontal="center" vertical="center" wrapText="1"/>
      <protection locked="0"/>
    </xf>
    <xf numFmtId="164" fontId="2" fillId="7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Alignment="1" applyProtection="1">
      <alignment horizontal="center" vertical="center" wrapText="1"/>
    </xf>
    <xf numFmtId="0" fontId="1" fillId="13" borderId="4" xfId="0" applyFont="1" applyFill="1" applyBorder="1" applyAlignment="1" applyProtection="1">
      <alignment horizontal="center" vertical="center" wrapText="1"/>
    </xf>
    <xf numFmtId="0" fontId="1" fillId="14" borderId="2" xfId="0" applyFont="1" applyFill="1" applyBorder="1" applyAlignment="1" applyProtection="1">
      <alignment horizontal="center" vertical="center" wrapText="1"/>
    </xf>
    <xf numFmtId="0" fontId="1" fillId="13" borderId="2" xfId="0" applyFont="1" applyFill="1" applyBorder="1" applyAlignment="1" applyProtection="1">
      <alignment horizontal="center" vertical="center" wrapText="1"/>
    </xf>
    <xf numFmtId="0" fontId="1" fillId="13" borderId="28" xfId="0" applyFont="1" applyFill="1" applyBorder="1" applyAlignment="1" applyProtection="1">
      <alignment horizontal="center" vertical="center" wrapText="1"/>
    </xf>
    <xf numFmtId="165" fontId="2" fillId="16" borderId="28" xfId="0" applyNumberFormat="1" applyFont="1" applyFill="1" applyBorder="1" applyAlignment="1" applyProtection="1">
      <alignment horizontal="center" vertical="center" wrapText="1"/>
    </xf>
    <xf numFmtId="164" fontId="2" fillId="15" borderId="28" xfId="0" applyNumberFormat="1" applyFont="1" applyFill="1" applyBorder="1" applyAlignment="1" applyProtection="1">
      <alignment horizontal="center" vertical="center" wrapText="1"/>
    </xf>
    <xf numFmtId="0" fontId="2" fillId="15" borderId="4" xfId="0" applyFont="1" applyFill="1" applyBorder="1" applyAlignment="1" applyProtection="1">
      <alignment horizontal="center" vertical="center" wrapText="1"/>
    </xf>
    <xf numFmtId="0" fontId="2" fillId="16" borderId="2" xfId="0" applyFont="1" applyFill="1" applyBorder="1" applyAlignment="1" applyProtection="1">
      <alignment horizontal="center" vertical="center" wrapText="1"/>
    </xf>
    <xf numFmtId="0" fontId="2" fillId="15" borderId="9" xfId="0" applyFont="1" applyFill="1" applyBorder="1" applyAlignment="1" applyProtection="1">
      <alignment horizontal="center" vertical="center" wrapText="1"/>
    </xf>
    <xf numFmtId="0" fontId="0" fillId="17" borderId="0" xfId="0" applyFill="1" applyProtection="1">
      <protection locked="0"/>
    </xf>
    <xf numFmtId="0" fontId="0" fillId="0" borderId="0" xfId="0" applyProtection="1"/>
    <xf numFmtId="0" fontId="0" fillId="17" borderId="22" xfId="0" applyFill="1" applyBorder="1" applyProtection="1"/>
    <xf numFmtId="0" fontId="0" fillId="17" borderId="5" xfId="0" applyFill="1" applyBorder="1" applyProtection="1"/>
    <xf numFmtId="0" fontId="0" fillId="17" borderId="23" xfId="0" applyFill="1" applyBorder="1" applyProtection="1"/>
    <xf numFmtId="0" fontId="0" fillId="17" borderId="15" xfId="0" applyFill="1" applyBorder="1" applyProtection="1"/>
    <xf numFmtId="0" fontId="0" fillId="17" borderId="0" xfId="0" applyFill="1" applyBorder="1" applyProtection="1"/>
    <xf numFmtId="0" fontId="0" fillId="17" borderId="16" xfId="0" applyFill="1" applyBorder="1" applyProtection="1"/>
    <xf numFmtId="0" fontId="0" fillId="17" borderId="17" xfId="0" applyFill="1" applyBorder="1" applyProtection="1"/>
    <xf numFmtId="0" fontId="0" fillId="17" borderId="18" xfId="0" applyFill="1" applyBorder="1" applyProtection="1"/>
    <xf numFmtId="0" fontId="0" fillId="17" borderId="19" xfId="0" applyFill="1" applyBorder="1" applyProtection="1"/>
    <xf numFmtId="0" fontId="1" fillId="9" borderId="39" xfId="0" applyFont="1" applyFill="1" applyBorder="1" applyAlignment="1" applyProtection="1">
      <alignment horizontal="center" vertical="center" wrapText="1"/>
    </xf>
    <xf numFmtId="0" fontId="0" fillId="11" borderId="34" xfId="0" applyFill="1" applyBorder="1" applyAlignment="1" applyProtection="1">
      <alignment horizontal="center" vertical="center"/>
      <protection locked="0"/>
    </xf>
    <xf numFmtId="0" fontId="0" fillId="11" borderId="39" xfId="0" applyFill="1" applyBorder="1" applyAlignment="1" applyProtection="1">
      <alignment horizontal="center" vertical="center"/>
      <protection locked="0"/>
    </xf>
    <xf numFmtId="0" fontId="0" fillId="11" borderId="37" xfId="0" applyFill="1" applyBorder="1" applyAlignment="1" applyProtection="1">
      <alignment horizontal="center" vertical="center"/>
      <protection locked="0"/>
    </xf>
    <xf numFmtId="0" fontId="0" fillId="12" borderId="27" xfId="0" applyFill="1" applyBorder="1" applyAlignment="1" applyProtection="1">
      <alignment horizontal="center" vertical="center"/>
      <protection locked="0"/>
    </xf>
    <xf numFmtId="0" fontId="0" fillId="12" borderId="35" xfId="0" applyFill="1" applyBorder="1" applyAlignment="1" applyProtection="1">
      <alignment horizontal="center" vertical="center"/>
      <protection locked="0"/>
    </xf>
    <xf numFmtId="0" fontId="1" fillId="9" borderId="3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1" fillId="9" borderId="25" xfId="0" applyFont="1" applyFill="1" applyBorder="1" applyAlignment="1" applyProtection="1">
      <alignment horizontal="center" vertical="center" wrapText="1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1" fillId="10" borderId="33" xfId="0" applyFont="1" applyFill="1" applyBorder="1" applyAlignment="1" applyProtection="1">
      <alignment horizontal="center" vertical="center" wrapText="1"/>
      <protection locked="0"/>
    </xf>
    <xf numFmtId="0" fontId="1" fillId="10" borderId="38" xfId="0" applyFont="1" applyFill="1" applyBorder="1" applyAlignment="1" applyProtection="1">
      <alignment horizontal="center" vertical="center" wrapText="1"/>
      <protection locked="0"/>
    </xf>
    <xf numFmtId="166" fontId="0" fillId="11" borderId="26" xfId="0" applyNumberFormat="1" applyFont="1" applyFill="1" applyBorder="1" applyAlignment="1" applyProtection="1">
      <alignment horizontal="center" vertical="center" wrapText="1"/>
      <protection locked="0"/>
    </xf>
    <xf numFmtId="165" fontId="0" fillId="11" borderId="26" xfId="0" applyNumberFormat="1" applyFont="1" applyFill="1" applyBorder="1" applyAlignment="1" applyProtection="1">
      <alignment horizontal="center" vertical="center" wrapText="1"/>
      <protection locked="0"/>
    </xf>
    <xf numFmtId="165" fontId="0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9" xfId="0" applyFont="1" applyFill="1" applyBorder="1" applyAlignment="1" applyProtection="1">
      <alignment vertical="center" wrapText="1"/>
      <protection locked="0"/>
    </xf>
    <xf numFmtId="1" fontId="2" fillId="7" borderId="28" xfId="0" applyNumberFormat="1" applyFont="1" applyFill="1" applyBorder="1" applyAlignment="1" applyProtection="1">
      <alignment horizontal="center" vertical="center" wrapText="1"/>
      <protection locked="0"/>
    </xf>
    <xf numFmtId="0" fontId="2" fillId="15" borderId="28" xfId="0" applyFont="1" applyFill="1" applyBorder="1" applyAlignment="1" applyProtection="1">
      <alignment horizontal="center" vertical="center" wrapText="1"/>
    </xf>
    <xf numFmtId="164" fontId="2" fillId="7" borderId="28" xfId="0" applyNumberFormat="1" applyFont="1" applyFill="1" applyBorder="1" applyAlignment="1" applyProtection="1">
      <alignment horizontal="center" vertical="center" wrapText="1"/>
      <protection locked="0"/>
    </xf>
    <xf numFmtId="0" fontId="2" fillId="16" borderId="28" xfId="0" applyFont="1" applyFill="1" applyBorder="1" applyAlignment="1" applyProtection="1">
      <alignment horizontal="center" vertical="center" wrapText="1"/>
    </xf>
    <xf numFmtId="1" fontId="2" fillId="7" borderId="29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28" xfId="0" applyFont="1" applyFill="1" applyBorder="1" applyAlignment="1" applyProtection="1">
      <alignment horizontal="center" vertical="center" wrapText="1"/>
    </xf>
    <xf numFmtId="0" fontId="0" fillId="17" borderId="0" xfId="0" applyFill="1" applyBorder="1"/>
    <xf numFmtId="0" fontId="0" fillId="17" borderId="0" xfId="0" applyFill="1"/>
    <xf numFmtId="0" fontId="0" fillId="17" borderId="0" xfId="0" applyFill="1" applyAlignment="1" applyProtection="1">
      <alignment horizontal="center" vertical="center" wrapText="1"/>
      <protection locked="0"/>
    </xf>
    <xf numFmtId="164" fontId="17" fillId="7" borderId="28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28" xfId="0" applyNumberFormat="1" applyFont="1" applyFill="1" applyBorder="1" applyAlignment="1" applyProtection="1">
      <alignment horizontal="center" vertical="center" wrapText="1"/>
      <protection locked="0"/>
    </xf>
    <xf numFmtId="0" fontId="8" fillId="19" borderId="43" xfId="0" applyFont="1" applyFill="1" applyBorder="1" applyAlignment="1" applyProtection="1">
      <alignment horizontal="center" vertical="center" wrapText="1"/>
    </xf>
    <xf numFmtId="164" fontId="17" fillId="18" borderId="28" xfId="0" applyNumberFormat="1" applyFont="1" applyFill="1" applyBorder="1" applyAlignment="1" applyProtection="1">
      <alignment horizontal="center" vertical="center" wrapText="1"/>
      <protection locked="0"/>
    </xf>
    <xf numFmtId="0" fontId="1" fillId="9" borderId="44" xfId="0" applyFont="1" applyFill="1" applyBorder="1" applyAlignment="1" applyProtection="1">
      <alignment horizontal="center" vertical="center" wrapText="1"/>
    </xf>
    <xf numFmtId="0" fontId="11" fillId="10" borderId="39" xfId="0" applyFont="1" applyFill="1" applyBorder="1" applyAlignment="1" applyProtection="1">
      <alignment horizontal="center" vertical="center" wrapText="1"/>
    </xf>
    <xf numFmtId="0" fontId="3" fillId="10" borderId="34" xfId="0" applyFont="1" applyFill="1" applyBorder="1" applyAlignment="1" applyProtection="1">
      <alignment horizontal="center" vertical="center" wrapText="1"/>
    </xf>
    <xf numFmtId="0" fontId="3" fillId="10" borderId="37" xfId="0" applyFont="1" applyFill="1" applyBorder="1" applyAlignment="1" applyProtection="1">
      <alignment horizontal="center" vertical="center" wrapText="1"/>
    </xf>
    <xf numFmtId="0" fontId="3" fillId="10" borderId="39" xfId="0" applyFont="1" applyFill="1" applyBorder="1" applyAlignment="1" applyProtection="1">
      <alignment horizontal="center" vertical="center" wrapText="1"/>
    </xf>
    <xf numFmtId="0" fontId="1" fillId="4" borderId="28" xfId="0" applyFont="1" applyFill="1" applyBorder="1" applyAlignment="1" applyProtection="1">
      <alignment horizontal="center" vertical="center" wrapText="1"/>
    </xf>
    <xf numFmtId="0" fontId="1" fillId="9" borderId="44" xfId="0" applyFont="1" applyFill="1" applyBorder="1" applyAlignment="1" applyProtection="1">
      <alignment horizontal="center" vertical="center"/>
    </xf>
    <xf numFmtId="0" fontId="8" fillId="4" borderId="28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16" fillId="9" borderId="0" xfId="0" applyFont="1" applyFill="1" applyAlignment="1" applyProtection="1">
      <alignment horizontal="center"/>
      <protection locked="0"/>
    </xf>
    <xf numFmtId="11" fontId="2" fillId="22" borderId="28" xfId="0" applyNumberFormat="1" applyFont="1" applyFill="1" applyBorder="1" applyAlignment="1" applyProtection="1">
      <alignment horizontal="center" vertical="center" wrapText="1"/>
      <protection locked="0"/>
    </xf>
    <xf numFmtId="167" fontId="2" fillId="21" borderId="28" xfId="0" applyNumberFormat="1" applyFont="1" applyFill="1" applyBorder="1" applyAlignment="1" applyProtection="1">
      <alignment horizontal="center" vertical="center" wrapText="1"/>
    </xf>
    <xf numFmtId="167" fontId="2" fillId="21" borderId="28" xfId="0" applyNumberFormat="1" applyFont="1" applyFill="1" applyBorder="1" applyAlignment="1" applyProtection="1">
      <alignment horizontal="center" vertical="center" wrapText="1"/>
      <protection locked="0"/>
    </xf>
    <xf numFmtId="167" fontId="2" fillId="22" borderId="28" xfId="0" applyNumberFormat="1" applyFont="1" applyFill="1" applyBorder="1" applyAlignment="1" applyProtection="1">
      <alignment horizontal="center" vertical="center" wrapText="1"/>
    </xf>
    <xf numFmtId="167" fontId="2" fillId="22" borderId="28" xfId="0" applyNumberFormat="1" applyFont="1" applyFill="1" applyBorder="1" applyAlignment="1" applyProtection="1">
      <alignment horizontal="center" vertical="center" wrapText="1"/>
      <protection locked="0"/>
    </xf>
    <xf numFmtId="0" fontId="11" fillId="9" borderId="28" xfId="0" applyFont="1" applyFill="1" applyBorder="1" applyAlignment="1" applyProtection="1">
      <alignment horizontal="center" vertical="center"/>
      <protection locked="0"/>
    </xf>
    <xf numFmtId="0" fontId="0" fillId="11" borderId="29" xfId="0" applyFill="1" applyBorder="1" applyAlignment="1" applyProtection="1">
      <alignment horizontal="center" vertical="center" wrapText="1"/>
      <protection locked="0"/>
    </xf>
    <xf numFmtId="0" fontId="0" fillId="17" borderId="47" xfId="0" applyFill="1" applyBorder="1" applyAlignment="1" applyProtection="1">
      <alignment horizontal="center" vertical="center"/>
      <protection locked="0"/>
    </xf>
    <xf numFmtId="0" fontId="0" fillId="17" borderId="48" xfId="0" applyFill="1" applyBorder="1" applyAlignment="1" applyProtection="1">
      <alignment horizontal="center" vertical="center"/>
      <protection locked="0"/>
    </xf>
    <xf numFmtId="0" fontId="0" fillId="17" borderId="28" xfId="0" applyFill="1" applyBorder="1" applyAlignment="1" applyProtection="1">
      <alignment horizontal="center" vertical="center" wrapText="1"/>
      <protection locked="0"/>
    </xf>
    <xf numFmtId="164" fontId="2" fillId="7" borderId="31" xfId="0" applyNumberFormat="1" applyFont="1" applyFill="1" applyBorder="1" applyAlignment="1" applyProtection="1">
      <alignment horizontal="center" vertical="center" wrapText="1"/>
      <protection locked="0"/>
    </xf>
    <xf numFmtId="164" fontId="2" fillId="21" borderId="9" xfId="0" applyNumberFormat="1" applyFont="1" applyFill="1" applyBorder="1" applyAlignment="1" applyProtection="1">
      <alignment horizontal="center" vertical="center" wrapText="1"/>
      <protection locked="0"/>
    </xf>
    <xf numFmtId="1" fontId="2" fillId="8" borderId="9" xfId="0" applyNumberFormat="1" applyFont="1" applyFill="1" applyBorder="1" applyAlignment="1" applyProtection="1">
      <alignment horizontal="center" vertical="center" wrapText="1"/>
      <protection locked="0"/>
    </xf>
    <xf numFmtId="164" fontId="2" fillId="8" borderId="9" xfId="0" applyNumberFormat="1" applyFont="1" applyFill="1" applyBorder="1" applyAlignment="1" applyProtection="1">
      <alignment horizontal="center" vertical="center" wrapText="1"/>
      <protection locked="0"/>
    </xf>
    <xf numFmtId="0" fontId="18" fillId="17" borderId="51" xfId="0" applyFont="1" applyFill="1" applyBorder="1" applyAlignment="1" applyProtection="1">
      <alignment horizontal="center" vertical="center" wrapText="1"/>
    </xf>
    <xf numFmtId="0" fontId="16" fillId="17" borderId="51" xfId="0" applyFont="1" applyFill="1" applyBorder="1" applyAlignment="1" applyProtection="1">
      <alignment horizontal="center" vertical="center" wrapText="1"/>
      <protection locked="0"/>
    </xf>
    <xf numFmtId="0" fontId="1" fillId="4" borderId="30" xfId="0" applyFont="1" applyFill="1" applyBorder="1" applyAlignment="1" applyProtection="1">
      <alignment horizontal="center" vertical="center" wrapText="1"/>
    </xf>
    <xf numFmtId="164" fontId="2" fillId="22" borderId="28" xfId="0" applyNumberFormat="1" applyFont="1" applyFill="1" applyBorder="1" applyAlignment="1" applyProtection="1">
      <alignment horizontal="center" vertical="center" wrapText="1"/>
      <protection locked="0"/>
    </xf>
    <xf numFmtId="164" fontId="2" fillId="23" borderId="28" xfId="0" applyNumberFormat="1" applyFont="1" applyFill="1" applyBorder="1" applyAlignment="1" applyProtection="1">
      <alignment horizontal="center" vertical="center" wrapText="1"/>
      <protection locked="0"/>
    </xf>
    <xf numFmtId="164" fontId="2" fillId="25" borderId="28" xfId="0" applyNumberFormat="1" applyFont="1" applyFill="1" applyBorder="1" applyAlignment="1" applyProtection="1">
      <alignment horizontal="center" vertical="center" wrapText="1"/>
      <protection locked="0"/>
    </xf>
    <xf numFmtId="2" fontId="2" fillId="22" borderId="28" xfId="0" applyNumberFormat="1" applyFont="1" applyFill="1" applyBorder="1" applyAlignment="1" applyProtection="1">
      <alignment horizontal="center" vertical="center" wrapText="1"/>
      <protection locked="0"/>
    </xf>
    <xf numFmtId="1" fontId="2" fillId="25" borderId="28" xfId="0" applyNumberFormat="1" applyFont="1" applyFill="1" applyBorder="1" applyAlignment="1" applyProtection="1">
      <alignment horizontal="center" vertical="center" wrapText="1"/>
      <protection locked="0"/>
    </xf>
    <xf numFmtId="2" fontId="2" fillId="23" borderId="28" xfId="0" applyNumberFormat="1" applyFont="1" applyFill="1" applyBorder="1" applyAlignment="1" applyProtection="1">
      <alignment horizontal="center" vertical="center" wrapText="1"/>
      <protection locked="0"/>
    </xf>
    <xf numFmtId="11" fontId="2" fillId="25" borderId="28" xfId="0" applyNumberFormat="1" applyFont="1" applyFill="1" applyBorder="1" applyAlignment="1" applyProtection="1">
      <alignment horizontal="center" vertical="center" wrapText="1"/>
      <protection locked="0"/>
    </xf>
    <xf numFmtId="11" fontId="2" fillId="23" borderId="28" xfId="0" applyNumberFormat="1" applyFont="1" applyFill="1" applyBorder="1" applyAlignment="1" applyProtection="1">
      <alignment horizontal="center" vertical="center" wrapText="1"/>
      <protection locked="0"/>
    </xf>
    <xf numFmtId="11" fontId="2" fillId="7" borderId="28" xfId="0" applyNumberFormat="1" applyFont="1" applyFill="1" applyBorder="1" applyAlignment="1" applyProtection="1">
      <alignment horizontal="center" vertical="center" wrapText="1"/>
      <protection locked="0"/>
    </xf>
    <xf numFmtId="0" fontId="2" fillId="17" borderId="0" xfId="0" applyFont="1" applyFill="1" applyAlignment="1" applyProtection="1">
      <alignment horizontal="center" vertical="center" wrapText="1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9" borderId="13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0" fillId="9" borderId="18" xfId="0" applyFill="1" applyBorder="1" applyAlignment="1" applyProtection="1">
      <alignment horizontal="center"/>
    </xf>
    <xf numFmtId="2" fontId="2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 wrapText="1"/>
    </xf>
    <xf numFmtId="2" fontId="0" fillId="0" borderId="0" xfId="0" applyNumberFormat="1" applyFill="1" applyBorder="1" applyAlignment="1" applyProtection="1">
      <alignment horizontal="center" vertical="center"/>
      <protection locked="0"/>
    </xf>
    <xf numFmtId="0" fontId="0" fillId="11" borderId="6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1" fillId="9" borderId="0" xfId="0" applyFont="1" applyFill="1" applyBorder="1" applyAlignment="1" applyProtection="1">
      <alignment horizontal="center" vertical="center"/>
      <protection locked="0"/>
    </xf>
    <xf numFmtId="9" fontId="0" fillId="3" borderId="62" xfId="1" applyFont="1" applyFill="1" applyBorder="1" applyAlignment="1" applyProtection="1">
      <alignment horizontal="center" vertical="center"/>
      <protection locked="0"/>
    </xf>
    <xf numFmtId="9" fontId="0" fillId="11" borderId="63" xfId="1" applyFont="1" applyFill="1" applyBorder="1" applyAlignment="1" applyProtection="1">
      <alignment horizontal="center" vertical="center"/>
      <protection locked="0"/>
    </xf>
    <xf numFmtId="2" fontId="0" fillId="11" borderId="63" xfId="0" applyNumberFormat="1" applyFill="1" applyBorder="1" applyAlignment="1" applyProtection="1">
      <alignment horizontal="center" vertical="center"/>
      <protection locked="0"/>
    </xf>
    <xf numFmtId="2" fontId="0" fillId="12" borderId="55" xfId="0" applyNumberFormat="1" applyFill="1" applyBorder="1" applyAlignment="1" applyProtection="1">
      <alignment horizontal="center" vertical="center"/>
      <protection locked="0"/>
    </xf>
    <xf numFmtId="0" fontId="0" fillId="9" borderId="0" xfId="0" applyFill="1" applyBorder="1" applyProtection="1">
      <protection locked="0"/>
    </xf>
    <xf numFmtId="0" fontId="0" fillId="27" borderId="0" xfId="0" applyFill="1" applyProtection="1"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11" fillId="9" borderId="4" xfId="0" applyFont="1" applyFill="1" applyBorder="1" applyAlignment="1" applyProtection="1">
      <alignment horizontal="center" vertical="center"/>
      <protection locked="0"/>
    </xf>
    <xf numFmtId="0" fontId="11" fillId="9" borderId="71" xfId="0" applyFont="1" applyFill="1" applyBorder="1" applyAlignment="1" applyProtection="1">
      <alignment horizontal="center" vertical="center"/>
      <protection locked="0"/>
    </xf>
    <xf numFmtId="0" fontId="11" fillId="9" borderId="5" xfId="0" applyFont="1" applyFill="1" applyBorder="1" applyAlignment="1" applyProtection="1">
      <alignment horizontal="center" vertical="center"/>
      <protection locked="0"/>
    </xf>
    <xf numFmtId="9" fontId="0" fillId="3" borderId="72" xfId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 vertical="center"/>
    </xf>
    <xf numFmtId="2" fontId="0" fillId="11" borderId="16" xfId="0" applyNumberFormat="1" applyFill="1" applyBorder="1" applyAlignment="1" applyProtection="1">
      <alignment horizontal="center" vertical="center"/>
      <protection locked="0"/>
    </xf>
    <xf numFmtId="0" fontId="20" fillId="26" borderId="2" xfId="0" applyFont="1" applyFill="1" applyBorder="1" applyAlignment="1" applyProtection="1">
      <alignment horizontal="center" vertical="center" wrapText="1"/>
    </xf>
    <xf numFmtId="1" fontId="21" fillId="26" borderId="2" xfId="0" applyNumberFormat="1" applyFont="1" applyFill="1" applyBorder="1" applyAlignment="1" applyProtection="1">
      <alignment horizontal="center" vertical="center" wrapText="1"/>
      <protection locked="0"/>
    </xf>
    <xf numFmtId="167" fontId="0" fillId="11" borderId="28" xfId="0" applyNumberFormat="1" applyFill="1" applyBorder="1" applyAlignment="1" applyProtection="1">
      <alignment horizontal="center" vertical="center" wrapText="1"/>
      <protection locked="0"/>
    </xf>
    <xf numFmtId="167" fontId="0" fillId="24" borderId="28" xfId="0" applyNumberFormat="1" applyFill="1" applyBorder="1" applyAlignment="1" applyProtection="1">
      <alignment horizontal="center" vertical="center" wrapText="1"/>
      <protection locked="0"/>
    </xf>
    <xf numFmtId="167" fontId="0" fillId="24" borderId="28" xfId="0" applyNumberFormat="1" applyFill="1" applyBorder="1" applyAlignment="1" applyProtection="1">
      <alignment horizontal="center" vertical="center"/>
      <protection locked="0"/>
    </xf>
    <xf numFmtId="0" fontId="0" fillId="11" borderId="38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11" borderId="52" xfId="0" applyFill="1" applyBorder="1" applyAlignment="1" applyProtection="1">
      <alignment horizontal="center" vertical="center"/>
      <protection locked="0"/>
    </xf>
    <xf numFmtId="2" fontId="0" fillId="3" borderId="68" xfId="0" applyNumberFormat="1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2" borderId="26" xfId="0" applyFill="1" applyBorder="1" applyAlignment="1" applyProtection="1">
      <alignment horizontal="center" vertical="center"/>
      <protection locked="0"/>
    </xf>
    <xf numFmtId="2" fontId="2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11" borderId="74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6" fillId="2" borderId="12" xfId="0" applyFont="1" applyFill="1" applyBorder="1" applyAlignment="1" applyProtection="1">
      <alignment horizontal="center" vertical="center"/>
    </xf>
    <xf numFmtId="0" fontId="6" fillId="2" borderId="13" xfId="0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center" vertical="center"/>
    </xf>
    <xf numFmtId="0" fontId="6" fillId="2" borderId="20" xfId="0" applyFont="1" applyFill="1" applyBorder="1" applyAlignment="1" applyProtection="1">
      <alignment horizontal="center" vertical="center"/>
    </xf>
    <xf numFmtId="0" fontId="6" fillId="2" borderId="8" xfId="0" applyFont="1" applyFill="1" applyBorder="1" applyAlignment="1" applyProtection="1">
      <alignment horizontal="center" vertical="center"/>
    </xf>
    <xf numFmtId="0" fontId="6" fillId="2" borderId="21" xfId="0" applyFont="1" applyFill="1" applyBorder="1" applyAlignment="1" applyProtection="1">
      <alignment horizontal="center" vertical="center"/>
    </xf>
    <xf numFmtId="0" fontId="7" fillId="2" borderId="12" xfId="0" applyFont="1" applyFill="1" applyBorder="1" applyAlignment="1" applyProtection="1">
      <alignment horizontal="center" vertical="center"/>
    </xf>
    <xf numFmtId="0" fontId="7" fillId="2" borderId="13" xfId="0" applyFont="1" applyFill="1" applyBorder="1" applyAlignment="1" applyProtection="1">
      <alignment horizontal="center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7" fillId="2" borderId="17" xfId="0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 applyProtection="1">
      <alignment horizontal="center" vertical="center"/>
    </xf>
    <xf numFmtId="0" fontId="14" fillId="9" borderId="24" xfId="0" applyFont="1" applyFill="1" applyBorder="1" applyAlignment="1" applyProtection="1">
      <alignment horizontal="center" vertical="center"/>
      <protection locked="0"/>
    </xf>
    <xf numFmtId="0" fontId="14" fillId="9" borderId="39" xfId="0" applyFont="1" applyFill="1" applyBorder="1" applyAlignment="1">
      <alignment horizontal="center" vertical="center"/>
    </xf>
    <xf numFmtId="0" fontId="13" fillId="4" borderId="27" xfId="0" applyFont="1" applyFill="1" applyBorder="1" applyAlignment="1" applyProtection="1">
      <alignment horizontal="center" vertical="center" wrapText="1"/>
      <protection locked="0"/>
    </xf>
    <xf numFmtId="0" fontId="13" fillId="4" borderId="35" xfId="0" applyFont="1" applyFill="1" applyBorder="1" applyAlignment="1" applyProtection="1">
      <alignment horizontal="center" vertical="center" wrapText="1"/>
      <protection locked="0"/>
    </xf>
    <xf numFmtId="0" fontId="13" fillId="4" borderId="36" xfId="0" applyFont="1" applyFill="1" applyBorder="1" applyAlignment="1" applyProtection="1">
      <alignment horizontal="center" vertical="center" wrapText="1"/>
      <protection locked="0"/>
    </xf>
    <xf numFmtId="0" fontId="4" fillId="4" borderId="11" xfId="0" applyFont="1" applyFill="1" applyBorder="1" applyAlignment="1" applyProtection="1">
      <alignment horizontal="center" vertical="center" wrapText="1"/>
      <protection locked="0"/>
    </xf>
    <xf numFmtId="0" fontId="4" fillId="4" borderId="32" xfId="0" applyFont="1" applyFill="1" applyBorder="1" applyAlignment="1" applyProtection="1">
      <alignment horizontal="center" vertical="center" wrapText="1"/>
      <protection locked="0"/>
    </xf>
    <xf numFmtId="0" fontId="14" fillId="9" borderId="25" xfId="0" applyFont="1" applyFill="1" applyBorder="1" applyAlignment="1" applyProtection="1">
      <alignment horizontal="center" vertical="center"/>
      <protection locked="0"/>
    </xf>
    <xf numFmtId="0" fontId="13" fillId="4" borderId="40" xfId="0" applyFont="1" applyFill="1" applyBorder="1" applyAlignment="1" applyProtection="1">
      <alignment horizontal="center" vertical="center" wrapText="1"/>
      <protection locked="0"/>
    </xf>
    <xf numFmtId="0" fontId="13" fillId="4" borderId="41" xfId="0" applyFon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 vertical="center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</xf>
    <xf numFmtId="0" fontId="1" fillId="4" borderId="43" xfId="0" applyFont="1" applyFill="1" applyBorder="1" applyAlignment="1" applyProtection="1">
      <alignment horizontal="center" vertical="center" wrapText="1"/>
    </xf>
    <xf numFmtId="0" fontId="1" fillId="13" borderId="9" xfId="0" applyFont="1" applyFill="1" applyBorder="1" applyAlignment="1" applyProtection="1">
      <alignment horizontal="center" vertical="center" wrapText="1"/>
    </xf>
    <xf numFmtId="0" fontId="1" fillId="13" borderId="32" xfId="0" applyFont="1" applyFill="1" applyBorder="1" applyAlignment="1" applyProtection="1">
      <alignment horizontal="center" vertical="center" wrapText="1"/>
    </xf>
    <xf numFmtId="0" fontId="1" fillId="14" borderId="9" xfId="0" applyFont="1" applyFill="1" applyBorder="1" applyAlignment="1" applyProtection="1">
      <alignment horizontal="center" vertical="center" wrapText="1"/>
    </xf>
    <xf numFmtId="0" fontId="1" fillId="14" borderId="32" xfId="0" applyFont="1" applyFill="1" applyBorder="1" applyAlignment="1" applyProtection="1">
      <alignment horizontal="center" vertical="center" wrapText="1"/>
    </xf>
    <xf numFmtId="0" fontId="1" fillId="4" borderId="50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5" borderId="8" xfId="0" applyFont="1" applyFill="1" applyBorder="1" applyAlignment="1" applyProtection="1">
      <alignment horizontal="center" vertical="center" wrapText="1"/>
    </xf>
    <xf numFmtId="0" fontId="1" fillId="13" borderId="31" xfId="0" applyFont="1" applyFill="1" applyBorder="1" applyAlignment="1" applyProtection="1">
      <alignment horizontal="center" vertical="center" wrapText="1"/>
    </xf>
    <xf numFmtId="0" fontId="1" fillId="13" borderId="46" xfId="0" applyFont="1" applyFill="1" applyBorder="1" applyAlignment="1" applyProtection="1">
      <alignment horizontal="center" vertical="center" wrapText="1"/>
    </xf>
    <xf numFmtId="0" fontId="1" fillId="4" borderId="28" xfId="0" applyFont="1" applyFill="1" applyBorder="1" applyAlignment="1" applyProtection="1">
      <alignment horizontal="center" vertical="center" wrapText="1"/>
    </xf>
    <xf numFmtId="0" fontId="4" fillId="5" borderId="0" xfId="0" applyFont="1" applyFill="1" applyBorder="1" applyAlignment="1" applyProtection="1">
      <alignment horizontal="center" vertical="center" wrapText="1"/>
    </xf>
    <xf numFmtId="0" fontId="4" fillId="4" borderId="8" xfId="0" applyFont="1" applyFill="1" applyBorder="1" applyAlignment="1" applyProtection="1">
      <alignment horizontal="center" vertical="center" wrapText="1"/>
    </xf>
    <xf numFmtId="0" fontId="1" fillId="9" borderId="44" xfId="0" applyFont="1" applyFill="1" applyBorder="1" applyAlignment="1" applyProtection="1">
      <alignment horizontal="center" vertical="center"/>
    </xf>
    <xf numFmtId="0" fontId="1" fillId="9" borderId="43" xfId="0" applyFont="1" applyFill="1" applyBorder="1" applyAlignment="1" applyProtection="1">
      <alignment horizontal="center" vertical="center"/>
    </xf>
    <xf numFmtId="0" fontId="1" fillId="9" borderId="0" xfId="0" applyFont="1" applyFill="1" applyBorder="1" applyAlignment="1" applyProtection="1">
      <alignment horizontal="center" vertical="center"/>
    </xf>
    <xf numFmtId="0" fontId="1" fillId="9" borderId="53" xfId="0" applyFont="1" applyFill="1" applyBorder="1" applyAlignment="1" applyProtection="1">
      <alignment horizontal="center" vertical="center"/>
    </xf>
    <xf numFmtId="0" fontId="1" fillId="9" borderId="52" xfId="0" applyFont="1" applyFill="1" applyBorder="1" applyAlignment="1" applyProtection="1">
      <alignment horizontal="center" vertical="center"/>
    </xf>
    <xf numFmtId="0" fontId="1" fillId="9" borderId="54" xfId="0" applyFont="1" applyFill="1" applyBorder="1" applyAlignment="1" applyProtection="1">
      <alignment horizontal="center" vertical="center"/>
    </xf>
    <xf numFmtId="0" fontId="4" fillId="4" borderId="56" xfId="0" applyFont="1" applyFill="1" applyBorder="1" applyAlignment="1" applyProtection="1">
      <alignment horizontal="center" vertical="center" wrapText="1"/>
    </xf>
    <xf numFmtId="0" fontId="4" fillId="4" borderId="57" xfId="0" applyFont="1" applyFill="1" applyBorder="1" applyAlignment="1" applyProtection="1">
      <alignment horizontal="center" vertical="center" wrapText="1"/>
    </xf>
    <xf numFmtId="0" fontId="4" fillId="4" borderId="58" xfId="0" applyFont="1" applyFill="1" applyBorder="1" applyAlignment="1" applyProtection="1">
      <alignment horizontal="center" vertical="center" wrapText="1"/>
    </xf>
    <xf numFmtId="0" fontId="1" fillId="9" borderId="61" xfId="0" applyFont="1" applyFill="1" applyBorder="1" applyAlignment="1" applyProtection="1">
      <alignment horizontal="center" vertical="center" wrapText="1"/>
    </xf>
    <xf numFmtId="0" fontId="1" fillId="9" borderId="11" xfId="0" applyFont="1" applyFill="1" applyBorder="1" applyAlignment="1" applyProtection="1">
      <alignment horizontal="center" vertical="center" wrapText="1"/>
    </xf>
    <xf numFmtId="0" fontId="1" fillId="9" borderId="32" xfId="0" applyFont="1" applyFill="1" applyBorder="1" applyAlignment="1" applyProtection="1">
      <alignment horizontal="center" vertical="center" wrapText="1"/>
    </xf>
    <xf numFmtId="0" fontId="1" fillId="9" borderId="67" xfId="0" applyFont="1" applyFill="1" applyBorder="1" applyAlignment="1" applyProtection="1">
      <alignment horizontal="center" vertical="center" wrapText="1"/>
    </xf>
    <xf numFmtId="0" fontId="1" fillId="9" borderId="6" xfId="0" applyFont="1" applyFill="1" applyBorder="1" applyAlignment="1" applyProtection="1">
      <alignment horizontal="center" vertical="center" wrapText="1"/>
    </xf>
    <xf numFmtId="0" fontId="1" fillId="9" borderId="1" xfId="0" applyFont="1" applyFill="1" applyBorder="1" applyAlignment="1" applyProtection="1">
      <alignment horizontal="center" vertical="center" wrapText="1"/>
    </xf>
    <xf numFmtId="0" fontId="1" fillId="9" borderId="59" xfId="0" applyFont="1" applyFill="1" applyBorder="1" applyAlignment="1" applyProtection="1">
      <alignment horizontal="center" vertical="center" wrapText="1"/>
    </xf>
    <xf numFmtId="0" fontId="1" fillId="9" borderId="45" xfId="0" applyFont="1" applyFill="1" applyBorder="1" applyAlignment="1" applyProtection="1">
      <alignment horizontal="center" vertical="center" wrapText="1"/>
    </xf>
    <xf numFmtId="0" fontId="1" fillId="9" borderId="3" xfId="0" applyFont="1" applyFill="1" applyBorder="1" applyAlignment="1" applyProtection="1">
      <alignment horizontal="center" vertical="center" wrapText="1"/>
    </xf>
    <xf numFmtId="0" fontId="11" fillId="9" borderId="73" xfId="0" applyFont="1" applyFill="1" applyBorder="1" applyAlignment="1" applyProtection="1">
      <alignment horizontal="center" vertical="center"/>
      <protection locked="0"/>
    </xf>
    <xf numFmtId="0" fontId="11" fillId="9" borderId="0" xfId="0" applyFont="1" applyFill="1" applyBorder="1" applyAlignment="1" applyProtection="1">
      <alignment horizontal="center" vertical="center"/>
      <protection locked="0"/>
    </xf>
    <xf numFmtId="0" fontId="11" fillId="9" borderId="69" xfId="0" applyFont="1" applyFill="1" applyBorder="1" applyAlignment="1" applyProtection="1">
      <alignment horizontal="center" vertical="center"/>
      <protection locked="0"/>
    </xf>
    <xf numFmtId="0" fontId="11" fillId="9" borderId="70" xfId="0" applyFont="1" applyFill="1" applyBorder="1" applyAlignment="1" applyProtection="1">
      <alignment horizontal="center" vertical="center"/>
      <protection locked="0"/>
    </xf>
    <xf numFmtId="0" fontId="11" fillId="9" borderId="56" xfId="0" applyFont="1" applyFill="1" applyBorder="1" applyAlignment="1" applyProtection="1">
      <alignment horizontal="center" vertical="center" wrapText="1"/>
      <protection locked="0"/>
    </xf>
    <xf numFmtId="0" fontId="11" fillId="9" borderId="13" xfId="0" applyFont="1" applyFill="1" applyBorder="1" applyAlignment="1" applyProtection="1">
      <alignment horizontal="center" vertical="center" wrapText="1"/>
      <protection locked="0"/>
    </xf>
    <xf numFmtId="0" fontId="11" fillId="9" borderId="57" xfId="0" applyFont="1" applyFill="1" applyBorder="1" applyAlignment="1" applyProtection="1">
      <alignment horizontal="center" vertical="center" wrapText="1"/>
      <protection locked="0"/>
    </xf>
    <xf numFmtId="0" fontId="1" fillId="9" borderId="64" xfId="0" applyFont="1" applyFill="1" applyBorder="1" applyAlignment="1" applyProtection="1">
      <alignment horizontal="center" vertical="center" wrapText="1"/>
    </xf>
    <xf numFmtId="0" fontId="1" fillId="9" borderId="65" xfId="0" applyFont="1" applyFill="1" applyBorder="1" applyAlignment="1" applyProtection="1">
      <alignment horizontal="center" vertical="center" wrapText="1"/>
    </xf>
    <xf numFmtId="0" fontId="1" fillId="9" borderId="66" xfId="0" applyFont="1" applyFill="1" applyBorder="1" applyAlignment="1" applyProtection="1">
      <alignment horizontal="center" vertical="center" wrapText="1"/>
    </xf>
    <xf numFmtId="0" fontId="4" fillId="9" borderId="8" xfId="0" applyFont="1" applyFill="1" applyBorder="1" applyAlignment="1">
      <alignment horizontal="center"/>
    </xf>
    <xf numFmtId="0" fontId="8" fillId="13" borderId="28" xfId="0" applyFont="1" applyFill="1" applyBorder="1" applyAlignment="1" applyProtection="1">
      <alignment horizontal="center" vertical="center" wrapText="1"/>
    </xf>
    <xf numFmtId="0" fontId="17" fillId="16" borderId="28" xfId="0" applyFont="1" applyFill="1" applyBorder="1" applyAlignment="1" applyProtection="1">
      <alignment horizontal="center" vertical="center" wrapText="1"/>
    </xf>
    <xf numFmtId="0" fontId="4" fillId="20" borderId="8" xfId="0" applyFont="1" applyFill="1" applyBorder="1" applyAlignment="1" applyProtection="1">
      <alignment horizontal="center" vertical="center" wrapText="1"/>
    </xf>
    <xf numFmtId="0" fontId="8" fillId="13" borderId="29" xfId="0" applyFont="1" applyFill="1" applyBorder="1" applyAlignment="1" applyProtection="1">
      <alignment horizontal="center" vertical="center" wrapText="1"/>
    </xf>
    <xf numFmtId="0" fontId="8" fillId="14" borderId="28" xfId="0" applyFont="1" applyFill="1" applyBorder="1" applyAlignment="1" applyProtection="1">
      <alignment horizontal="center" vertical="center" wrapText="1"/>
    </xf>
    <xf numFmtId="0" fontId="8" fillId="19" borderId="43" xfId="0" applyFont="1" applyFill="1" applyBorder="1" applyAlignment="1" applyProtection="1">
      <alignment horizontal="center" vertical="center" wrapText="1"/>
    </xf>
    <xf numFmtId="0" fontId="8" fillId="19" borderId="0" xfId="0" applyFont="1" applyFill="1" applyBorder="1" applyAlignment="1" applyProtection="1">
      <alignment horizontal="center" vertical="center" wrapText="1"/>
    </xf>
    <xf numFmtId="0" fontId="8" fillId="19" borderId="7" xfId="0" applyFont="1" applyFill="1" applyBorder="1" applyAlignment="1" applyProtection="1">
      <alignment horizontal="center" vertical="center" wrapText="1"/>
    </xf>
    <xf numFmtId="0" fontId="17" fillId="15" borderId="28" xfId="0" applyFont="1" applyFill="1" applyBorder="1" applyAlignment="1" applyProtection="1">
      <alignment horizontal="center" vertical="center" wrapText="1"/>
    </xf>
    <xf numFmtId="0" fontId="8" fillId="13" borderId="10" xfId="0" applyFont="1" applyFill="1" applyBorder="1" applyAlignment="1" applyProtection="1">
      <alignment horizontal="center" vertical="center" wrapText="1"/>
    </xf>
    <xf numFmtId="0" fontId="8" fillId="13" borderId="49" xfId="0" applyFont="1" applyFill="1" applyBorder="1" applyAlignment="1" applyProtection="1">
      <alignment horizontal="center" vertical="center" wrapText="1"/>
    </xf>
    <xf numFmtId="0" fontId="8" fillId="4" borderId="1" xfId="0" applyFont="1" applyFill="1" applyBorder="1" applyAlignment="1" applyProtection="1">
      <alignment horizontal="center" vertical="center" wrapText="1"/>
    </xf>
    <xf numFmtId="0" fontId="8" fillId="4" borderId="3" xfId="0" applyFont="1" applyFill="1" applyBorder="1" applyAlignment="1" applyProtection="1">
      <alignment horizontal="center" vertical="center" wrapText="1"/>
    </xf>
    <xf numFmtId="0" fontId="8" fillId="4" borderId="7" xfId="0" applyFont="1" applyFill="1" applyBorder="1" applyAlignment="1" applyProtection="1">
      <alignment horizontal="center" vertical="center" wrapText="1"/>
    </xf>
    <xf numFmtId="0" fontId="8" fillId="4" borderId="28" xfId="0" applyFont="1" applyFill="1" applyBorder="1" applyAlignment="1" applyProtection="1">
      <alignment horizontal="center" vertical="center" wrapText="1"/>
    </xf>
    <xf numFmtId="0" fontId="0" fillId="12" borderId="39" xfId="0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D9D9D9"/>
      <color rgb="FF1F497D"/>
      <color rgb="FF969696"/>
      <color rgb="FF4D4D4D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Emergence</a:t>
            </a:r>
            <a:r>
              <a:rPr lang="en-US" baseline="0"/>
              <a:t> curves when resistance develops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Results!$C$17</c:f>
              <c:strCache>
                <c:ptCount val="1"/>
                <c:pt idx="0">
                  <c:v>Min resistance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triangle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Results!$B$18:$B$91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</c:numCache>
            </c:numRef>
          </c:xVal>
          <c:yVal>
            <c:numRef>
              <c:f>Results!$C$18:$C$100</c:f>
              <c:numCache>
                <c:formatCode>General</c:formatCode>
                <c:ptCount val="83"/>
                <c:pt idx="0">
                  <c:v>1.9999999899999995E-8</c:v>
                </c:pt>
                <c:pt idx="1">
                  <c:v>4.345059467316561E-7</c:v>
                </c:pt>
                <c:pt idx="2">
                  <c:v>1.8952809202315639E-7</c:v>
                </c:pt>
                <c:pt idx="3">
                  <c:v>8.3397253962184423E-8</c:v>
                </c:pt>
                <c:pt idx="4">
                  <c:v>3.7410224754783523E-8</c:v>
                </c:pt>
                <c:pt idx="5">
                  <c:v>1.7466082115242944E-8</c:v>
                </c:pt>
                <c:pt idx="6">
                  <c:v>1.8230869663689146E-4</c:v>
                </c:pt>
                <c:pt idx="7">
                  <c:v>1.89356343031245E-3</c:v>
                </c:pt>
                <c:pt idx="8">
                  <c:v>1.7725970521819463E-2</c:v>
                </c:pt>
                <c:pt idx="9">
                  <c:v>0.12336876309621465</c:v>
                </c:pt>
                <c:pt idx="10">
                  <c:v>0.37581340341680303</c:v>
                </c:pt>
                <c:pt idx="11">
                  <c:v>0.58047486051278341</c:v>
                </c:pt>
                <c:pt idx="12">
                  <c:v>0.70972825131424266</c:v>
                </c:pt>
                <c:pt idx="13">
                  <c:v>0.79306363788011736</c:v>
                </c:pt>
                <c:pt idx="14">
                  <c:v>0.8490446832261811</c:v>
                </c:pt>
                <c:pt idx="15">
                  <c:v>0.88790617411621631</c:v>
                </c:pt>
                <c:pt idx="16">
                  <c:v>0.91555556608152444</c:v>
                </c:pt>
                <c:pt idx="17">
                  <c:v>0.93560240038622688</c:v>
                </c:pt>
                <c:pt idx="18">
                  <c:v>0.9503588811198771</c:v>
                </c:pt>
                <c:pt idx="19">
                  <c:v>0.96136075258475051</c:v>
                </c:pt>
                <c:pt idx="20">
                  <c:v>0.96965614684823187</c:v>
                </c:pt>
                <c:pt idx="21">
                  <c:v>0.97597526185199535</c:v>
                </c:pt>
                <c:pt idx="22">
                  <c:v>0.98083498534717117</c:v>
                </c:pt>
                <c:pt idx="23">
                  <c:v>0.98460596250093713</c:v>
                </c:pt>
                <c:pt idx="24">
                  <c:v>0.98755690441048882</c:v>
                </c:pt>
                <c:pt idx="25">
                  <c:v>0.97784255235747886</c:v>
                </c:pt>
                <c:pt idx="26">
                  <c:v>0.98045628254729877</c:v>
                </c:pt>
                <c:pt idx="27">
                  <c:v>0.98311061657009025</c:v>
                </c:pt>
                <c:pt idx="28">
                  <c:v>0.9850356887855648</c:v>
                </c:pt>
                <c:pt idx="29">
                  <c:v>0.98700223997988845</c:v>
                </c:pt>
                <c:pt idx="30">
                  <c:v>0.98843759713985546</c:v>
                </c:pt>
                <c:pt idx="31">
                  <c:v>0.98991160414934098</c:v>
                </c:pt>
                <c:pt idx="32">
                  <c:v>0.99099369976028573</c:v>
                </c:pt>
                <c:pt idx="33">
                  <c:v>0.99211021243931963</c:v>
                </c:pt>
                <c:pt idx="34">
                  <c:v>0.99293420599956472</c:v>
                </c:pt>
                <c:pt idx="35">
                  <c:v>0.99378806868051783</c:v>
                </c:pt>
                <c:pt idx="36">
                  <c:v>0.99442126909398365</c:v>
                </c:pt>
                <c:pt idx="37">
                  <c:v>0.99507998127415365</c:v>
                </c:pt>
                <c:pt idx="38">
                  <c:v>0.99557060591278956</c:v>
                </c:pt>
                <c:pt idx="39">
                  <c:v>0.99608279292547042</c:v>
                </c:pt>
                <c:pt idx="40">
                  <c:v>0.99646579138624791</c:v>
                </c:pt>
                <c:pt idx="41">
                  <c:v>0.99686688340457874</c:v>
                </c:pt>
                <c:pt idx="42">
                  <c:v>0.99716787156391584</c:v>
                </c:pt>
                <c:pt idx="43">
                  <c:v>0.99748396561221087</c:v>
                </c:pt>
                <c:pt idx="44">
                  <c:v>0.99772191825450762</c:v>
                </c:pt>
                <c:pt idx="45">
                  <c:v>0.9979724366332221</c:v>
                </c:pt>
                <c:pt idx="46">
                  <c:v>0.99816155172769117</c:v>
                </c:pt>
                <c:pt idx="47">
                  <c:v>0.99836109207677193</c:v>
                </c:pt>
                <c:pt idx="48">
                  <c:v>0.99851209532946261</c:v>
                </c:pt>
                <c:pt idx="49">
                  <c:v>0.99867173149943711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Results!$D$17</c:f>
              <c:strCache>
                <c:ptCount val="1"/>
                <c:pt idx="0">
                  <c:v>10th percentile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star"/>
            <c:size val="7"/>
            <c:spPr>
              <a:noFill/>
              <a:ln w="28575">
                <a:solidFill>
                  <a:srgbClr val="FF0000"/>
                </a:solidFill>
              </a:ln>
            </c:spPr>
          </c:marker>
          <c:xVal>
            <c:numRef>
              <c:f>Results!$B$18:$B$91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</c:numCache>
            </c:numRef>
          </c:xVal>
          <c:yVal>
            <c:numRef>
              <c:f>Results!$D$18:$D$100</c:f>
              <c:numCache>
                <c:formatCode>General</c:formatCode>
                <c:ptCount val="83"/>
                <c:pt idx="0">
                  <c:v>1.9999999899999995E-8</c:v>
                </c:pt>
                <c:pt idx="1">
                  <c:v>4.345059467316561E-7</c:v>
                </c:pt>
                <c:pt idx="2">
                  <c:v>1.8952809202315639E-7</c:v>
                </c:pt>
                <c:pt idx="3">
                  <c:v>8.3397253962184423E-8</c:v>
                </c:pt>
                <c:pt idx="4">
                  <c:v>3.7410228103045703E-8</c:v>
                </c:pt>
                <c:pt idx="5">
                  <c:v>4.4815968784140342E-3</c:v>
                </c:pt>
                <c:pt idx="6">
                  <c:v>4.6154926252925436E-2</c:v>
                </c:pt>
                <c:pt idx="7">
                  <c:v>0.27968092896186475</c:v>
                </c:pt>
                <c:pt idx="8">
                  <c:v>0.56255933843278227</c:v>
                </c:pt>
                <c:pt idx="9">
                  <c:v>0.72144245027773035</c:v>
                </c:pt>
                <c:pt idx="10">
                  <c:v>0.81072205447410484</c:v>
                </c:pt>
                <c:pt idx="11">
                  <c:v>0.86482048679843415</c:v>
                </c:pt>
                <c:pt idx="12">
                  <c:v>0.90029150437938288</c:v>
                </c:pt>
                <c:pt idx="13">
                  <c:v>0.92481276418245184</c:v>
                </c:pt>
                <c:pt idx="14">
                  <c:v>0.94237545513056742</c:v>
                </c:pt>
                <c:pt idx="15">
                  <c:v>0.95527108489865153</c:v>
                </c:pt>
                <c:pt idx="16">
                  <c:v>0.96491632137467775</c:v>
                </c:pt>
                <c:pt idx="17">
                  <c:v>0.97223554451409644</c:v>
                </c:pt>
                <c:pt idx="18">
                  <c:v>0.97785614107742602</c:v>
                </c:pt>
                <c:pt idx="19">
                  <c:v>0.98221647019993519</c:v>
                </c:pt>
                <c:pt idx="20">
                  <c:v>0.985629582692505</c:v>
                </c:pt>
                <c:pt idx="21">
                  <c:v>0.9883228658134855</c:v>
                </c:pt>
                <c:pt idx="22">
                  <c:v>0.99046376145963788</c:v>
                </c:pt>
                <c:pt idx="23">
                  <c:v>0.99217699997776587</c:v>
                </c:pt>
                <c:pt idx="24">
                  <c:v>0.9935564401140502</c:v>
                </c:pt>
                <c:pt idx="25">
                  <c:v>0.98653370146786301</c:v>
                </c:pt>
                <c:pt idx="26">
                  <c:v>0.98799644287032296</c:v>
                </c:pt>
                <c:pt idx="27">
                  <c:v>0.98950250610549173</c:v>
                </c:pt>
                <c:pt idx="28">
                  <c:v>0.99061197746643637</c:v>
                </c:pt>
                <c:pt idx="29">
                  <c:v>0.9917597067536108</c:v>
                </c:pt>
                <c:pt idx="30">
                  <c:v>0.99260945227710762</c:v>
                </c:pt>
                <c:pt idx="31">
                  <c:v>0.99349210172607949</c:v>
                </c:pt>
                <c:pt idx="32">
                  <c:v>0.9941484951249816</c:v>
                </c:pt>
                <c:pt idx="33">
                  <c:v>0.99483276311242941</c:v>
                </c:pt>
                <c:pt idx="34">
                  <c:v>0.99534364441315182</c:v>
                </c:pt>
                <c:pt idx="35">
                  <c:v>0.99587792241823114</c:v>
                </c:pt>
                <c:pt idx="36">
                  <c:v>0.99627823254156467</c:v>
                </c:pt>
                <c:pt idx="37">
                  <c:v>0.99669806453705512</c:v>
                </c:pt>
                <c:pt idx="38">
                  <c:v>0.99701362072827571</c:v>
                </c:pt>
                <c:pt idx="39">
                  <c:v>0.99734540137619732</c:v>
                </c:pt>
                <c:pt idx="40">
                  <c:v>0.99759547943938587</c:v>
                </c:pt>
                <c:pt idx="41">
                  <c:v>0.99785900515121373</c:v>
                </c:pt>
                <c:pt idx="42">
                  <c:v>0.99805813472914173</c:v>
                </c:pt>
                <c:pt idx="43">
                  <c:v>0.99826838959914588</c:v>
                </c:pt>
                <c:pt idx="44">
                  <c:v>0.99842761944401315</c:v>
                </c:pt>
                <c:pt idx="45">
                  <c:v>0.99859604136477054</c:v>
                </c:pt>
                <c:pt idx="46">
                  <c:v>0.99872384171096729</c:v>
                </c:pt>
                <c:pt idx="47">
                  <c:v>0.99885923007349908</c:v>
                </c:pt>
                <c:pt idx="48">
                  <c:v>0.99896214314807219</c:v>
                </c:pt>
                <c:pt idx="49">
                  <c:v>0.99907131633049295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Results!$E$17</c:f>
              <c:strCache>
                <c:ptCount val="1"/>
                <c:pt idx="0">
                  <c:v>Median resistance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Results!$B$18:$B$100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</c:numCache>
            </c:numRef>
          </c:xVal>
          <c:yVal>
            <c:numRef>
              <c:f>Results!$E$18:$E$100</c:f>
              <c:numCache>
                <c:formatCode>General</c:formatCode>
                <c:ptCount val="83"/>
                <c:pt idx="0">
                  <c:v>1.9999999899999995E-8</c:v>
                </c:pt>
                <c:pt idx="1">
                  <c:v>4.345059467316561E-7</c:v>
                </c:pt>
                <c:pt idx="2">
                  <c:v>1.895282706220876E-7</c:v>
                </c:pt>
                <c:pt idx="3">
                  <c:v>4.5466717618424385E-2</c:v>
                </c:pt>
                <c:pt idx="4">
                  <c:v>0.36407140136346716</c:v>
                </c:pt>
                <c:pt idx="5">
                  <c:v>0.74760279248389105</c:v>
                </c:pt>
                <c:pt idx="6">
                  <c:v>0.85709844642899313</c:v>
                </c:pt>
                <c:pt idx="7">
                  <c:v>0.90312007687730578</c:v>
                </c:pt>
                <c:pt idx="8">
                  <c:v>0.92926256016792252</c:v>
                </c:pt>
                <c:pt idx="9">
                  <c:v>0.94631003617042131</c:v>
                </c:pt>
                <c:pt idx="10">
                  <c:v>0.95828696572482785</c:v>
                </c:pt>
                <c:pt idx="11">
                  <c:v>0.96708656765440537</c:v>
                </c:pt>
                <c:pt idx="12">
                  <c:v>0.97374117375595381</c:v>
                </c:pt>
                <c:pt idx="13">
                  <c:v>0.97887402255504874</c:v>
                </c:pt>
                <c:pt idx="14">
                  <c:v>0.98288980087208699</c:v>
                </c:pt>
                <c:pt idx="15">
                  <c:v>0.9860655447361113</c:v>
                </c:pt>
                <c:pt idx="16">
                  <c:v>0.98859836282996083</c:v>
                </c:pt>
                <c:pt idx="17">
                  <c:v>0.9906325263070781</c:v>
                </c:pt>
                <c:pt idx="18">
                  <c:v>0.99227587995092792</c:v>
                </c:pt>
                <c:pt idx="19">
                  <c:v>0.99361033675179677</c:v>
                </c:pt>
                <c:pt idx="20">
                  <c:v>0.99469889213640994</c:v>
                </c:pt>
                <c:pt idx="21">
                  <c:v>0.99559048046079157</c:v>
                </c:pt>
                <c:pt idx="22">
                  <c:v>0.99632343186600913</c:v>
                </c:pt>
                <c:pt idx="23">
                  <c:v>0.9969279862918492</c:v>
                </c:pt>
                <c:pt idx="24">
                  <c:v>0.99742815260379669</c:v>
                </c:pt>
                <c:pt idx="25">
                  <c:v>0.99355988940314344</c:v>
                </c:pt>
                <c:pt idx="26">
                  <c:v>0.99419637154724705</c:v>
                </c:pt>
                <c:pt idx="27">
                  <c:v>0.99486219819735089</c:v>
                </c:pt>
                <c:pt idx="28">
                  <c:v>0.99536141985767157</c:v>
                </c:pt>
                <c:pt idx="29">
                  <c:v>0.9958851392833693</c:v>
                </c:pt>
                <c:pt idx="30">
                  <c:v>0.99627897873892768</c:v>
                </c:pt>
                <c:pt idx="31">
                  <c:v>0.99669314516817731</c:v>
                </c:pt>
                <c:pt idx="32">
                  <c:v>0.9970054084764256</c:v>
                </c:pt>
                <c:pt idx="33">
                  <c:v>0.99733447957066368</c:v>
                </c:pt>
                <c:pt idx="34">
                  <c:v>0.99758315364018324</c:v>
                </c:pt>
                <c:pt idx="35">
                  <c:v>0.9978456979301138</c:v>
                </c:pt>
                <c:pt idx="36">
                  <c:v>0.99804450348506402</c:v>
                </c:pt>
                <c:pt idx="37">
                  <c:v>0.99825474215991494</c:v>
                </c:pt>
                <c:pt idx="38">
                  <c:v>0.99841423061522883</c:v>
                </c:pt>
                <c:pt idx="39">
                  <c:v>0.99858313747422844</c:v>
                </c:pt>
                <c:pt idx="40">
                  <c:v>0.99871148028923085</c:v>
                </c:pt>
                <c:pt idx="41">
                  <c:v>0.99884757944320246</c:v>
                </c:pt>
                <c:pt idx="42">
                  <c:v>0.99895114454826472</c:v>
                </c:pt>
                <c:pt idx="43">
                  <c:v>0.99906109651738739</c:v>
                </c:pt>
                <c:pt idx="44">
                  <c:v>0.99914487426625531</c:v>
                </c:pt>
                <c:pt idx="45">
                  <c:v>0.9992339112590598</c:v>
                </c:pt>
                <c:pt idx="46">
                  <c:v>0.99930183233153647</c:v>
                </c:pt>
                <c:pt idx="47">
                  <c:v>0.99937408449824439</c:v>
                </c:pt>
                <c:pt idx="48">
                  <c:v>0.99942925921756143</c:v>
                </c:pt>
                <c:pt idx="49">
                  <c:v>0.99948800117510195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Results!$F$17</c:f>
              <c:strCache>
                <c:ptCount val="1"/>
                <c:pt idx="0">
                  <c:v>90th percentile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  <a:prstDash val="dash"/>
            </a:ln>
          </c:spPr>
          <c:marker>
            <c:symbol val="square"/>
            <c:size val="8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Results!$B$18:$B$100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</c:numCache>
            </c:numRef>
          </c:xVal>
          <c:yVal>
            <c:numRef>
              <c:f>Results!$F$18:$F$100</c:f>
              <c:numCache>
                <c:formatCode>General</c:formatCode>
                <c:ptCount val="83"/>
                <c:pt idx="0">
                  <c:v>1.9999999899999995E-8</c:v>
                </c:pt>
                <c:pt idx="1">
                  <c:v>4.7458481086165476E-3</c:v>
                </c:pt>
                <c:pt idx="2">
                  <c:v>9.8320702094907758E-2</c:v>
                </c:pt>
                <c:pt idx="3">
                  <c:v>0.49276043826097371</c:v>
                </c:pt>
                <c:pt idx="4">
                  <c:v>0.7998230435237289</c:v>
                </c:pt>
                <c:pt idx="5">
                  <c:v>0.88843566661716655</c:v>
                </c:pt>
                <c:pt idx="6">
                  <c:v>0.92392253980120476</c:v>
                </c:pt>
                <c:pt idx="7">
                  <c:v>0.94395427462069126</c:v>
                </c:pt>
                <c:pt idx="8">
                  <c:v>0.95707164437640668</c:v>
                </c:pt>
                <c:pt idx="9">
                  <c:v>0.96635813188842445</c:v>
                </c:pt>
                <c:pt idx="10">
                  <c:v>0.97324160058874754</c:v>
                </c:pt>
                <c:pt idx="11">
                  <c:v>0.97849473800762055</c:v>
                </c:pt>
                <c:pt idx="12">
                  <c:v>0.98258289851306757</c:v>
                </c:pt>
                <c:pt idx="13">
                  <c:v>0.98580867184543797</c:v>
                </c:pt>
                <c:pt idx="14">
                  <c:v>0.98838009619756284</c:v>
                </c:pt>
                <c:pt idx="15">
                  <c:v>0.99044614550671306</c:v>
                </c:pt>
                <c:pt idx="16">
                  <c:v>0.9921167219016519</c:v>
                </c:pt>
                <c:pt idx="17">
                  <c:v>0.99347469938541078</c:v>
                </c:pt>
                <c:pt idx="18">
                  <c:v>0.99458360148928127</c:v>
                </c:pt>
                <c:pt idx="19">
                  <c:v>0.99549273128457549</c:v>
                </c:pt>
                <c:pt idx="20">
                  <c:v>0.99624073221443044</c:v>
                </c:pt>
                <c:pt idx="21">
                  <c:v>0.99685813527269962</c:v>
                </c:pt>
                <c:pt idx="22">
                  <c:v>0.99736922419074336</c:v>
                </c:pt>
                <c:pt idx="23">
                  <c:v>0.99779342609797883</c:v>
                </c:pt>
                <c:pt idx="24">
                  <c:v>0.99814636300343096</c:v>
                </c:pt>
                <c:pt idx="25">
                  <c:v>0.99406060737741508</c:v>
                </c:pt>
                <c:pt idx="26">
                  <c:v>0.9946430936769679</c:v>
                </c:pt>
                <c:pt idx="27">
                  <c:v>0.99525320544672002</c:v>
                </c:pt>
                <c:pt idx="28">
                  <c:v>0.99571129130961467</c:v>
                </c:pt>
                <c:pt idx="29">
                  <c:v>0.99619238777301011</c:v>
                </c:pt>
                <c:pt idx="30">
                  <c:v>0.99655461803469803</c:v>
                </c:pt>
                <c:pt idx="31">
                  <c:v>0.99693591323837349</c:v>
                </c:pt>
                <c:pt idx="32">
                  <c:v>0.99722370304054442</c:v>
                </c:pt>
                <c:pt idx="33">
                  <c:v>0.997527241495197</c:v>
                </c:pt>
                <c:pt idx="34">
                  <c:v>0.99775683845252172</c:v>
                </c:pt>
                <c:pt idx="35">
                  <c:v>0.99799942277528841</c:v>
                </c:pt>
                <c:pt idx="36">
                  <c:v>0.99818326726395479</c:v>
                </c:pt>
                <c:pt idx="37">
                  <c:v>0.99837781210680432</c:v>
                </c:pt>
                <c:pt idx="38">
                  <c:v>0.99852550326646117</c:v>
                </c:pt>
                <c:pt idx="39">
                  <c:v>0.99868200633343007</c:v>
                </c:pt>
                <c:pt idx="40">
                  <c:v>0.99880100078400014</c:v>
                </c:pt>
                <c:pt idx="41">
                  <c:v>0.99892725051457443</c:v>
                </c:pt>
                <c:pt idx="42">
                  <c:v>0.99902337503911398</c:v>
                </c:pt>
                <c:pt idx="43">
                  <c:v>0.99912547298393339</c:v>
                </c:pt>
                <c:pt idx="44">
                  <c:v>0.99920330507902633</c:v>
                </c:pt>
                <c:pt idx="45">
                  <c:v>0.99928605554390004</c:v>
                </c:pt>
                <c:pt idx="46">
                  <c:v>0.99934920863036192</c:v>
                </c:pt>
                <c:pt idx="47">
                  <c:v>0.9994164119126201</c:v>
                </c:pt>
                <c:pt idx="48">
                  <c:v>0.99946775088253526</c:v>
                </c:pt>
                <c:pt idx="49">
                  <c:v>0.99952242568554661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Results!$G$17</c:f>
              <c:strCache>
                <c:ptCount val="1"/>
                <c:pt idx="0">
                  <c:v>Max resistance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plus"/>
            <c:size val="8"/>
            <c:spPr>
              <a:noFill/>
              <a:ln w="28575">
                <a:solidFill>
                  <a:srgbClr val="7030A0"/>
                </a:solidFill>
              </a:ln>
            </c:spPr>
          </c:marker>
          <c:xVal>
            <c:numRef>
              <c:f>Results!$B$18:$B$100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</c:numCache>
            </c:numRef>
          </c:xVal>
          <c:yVal>
            <c:numRef>
              <c:f>Results!$G$18:$G$100</c:f>
              <c:numCache>
                <c:formatCode>General</c:formatCode>
                <c:ptCount val="83"/>
                <c:pt idx="0">
                  <c:v>1.9999999899999995E-8</c:v>
                </c:pt>
                <c:pt idx="1">
                  <c:v>1.4122152258393946E-2</c:v>
                </c:pt>
                <c:pt idx="2">
                  <c:v>0.13928324473843365</c:v>
                </c:pt>
                <c:pt idx="3">
                  <c:v>0.56265066354343007</c:v>
                </c:pt>
                <c:pt idx="4">
                  <c:v>0.82486695212556271</c:v>
                </c:pt>
                <c:pt idx="5">
                  <c:v>0.89807137243745405</c:v>
                </c:pt>
                <c:pt idx="6">
                  <c:v>0.92938872077477463</c:v>
                </c:pt>
                <c:pt idx="7">
                  <c:v>0.94756065496590902</c:v>
                </c:pt>
                <c:pt idx="8">
                  <c:v>0.95963372256547119</c:v>
                </c:pt>
                <c:pt idx="9">
                  <c:v>0.96825674198134037</c:v>
                </c:pt>
                <c:pt idx="10">
                  <c:v>0.9746864821737331</c:v>
                </c:pt>
                <c:pt idx="11">
                  <c:v>0.97961439752449764</c:v>
                </c:pt>
                <c:pt idx="12">
                  <c:v>0.98346197740458541</c:v>
                </c:pt>
                <c:pt idx="13">
                  <c:v>0.98650580382922182</c:v>
                </c:pt>
                <c:pt idx="14">
                  <c:v>0.98893738186645319</c:v>
                </c:pt>
                <c:pt idx="15">
                  <c:v>0.99089461039633853</c:v>
                </c:pt>
                <c:pt idx="16">
                  <c:v>0.99247967508901069</c:v>
                </c:pt>
                <c:pt idx="17">
                  <c:v>0.9937699122921968</c:v>
                </c:pt>
                <c:pt idx="18">
                  <c:v>0.99482478169236288</c:v>
                </c:pt>
                <c:pt idx="19">
                  <c:v>0.99569055255306382</c:v>
                </c:pt>
                <c:pt idx="20">
                  <c:v>0.99640357283539949</c:v>
                </c:pt>
                <c:pt idx="21">
                  <c:v>0.99699261774323011</c:v>
                </c:pt>
                <c:pt idx="22">
                  <c:v>0.9974806158035967</c:v>
                </c:pt>
                <c:pt idx="23">
                  <c:v>0.99788593993455788</c:v>
                </c:pt>
                <c:pt idx="24">
                  <c:v>0.99822338637863339</c:v>
                </c:pt>
                <c:pt idx="25">
                  <c:v>0.99407284253609007</c:v>
                </c:pt>
                <c:pt idx="26">
                  <c:v>0.99465401852518287</c:v>
                </c:pt>
                <c:pt idx="27">
                  <c:v>0.99526277661574525</c:v>
                </c:pt>
                <c:pt idx="28">
                  <c:v>0.99571986170404037</c:v>
                </c:pt>
                <c:pt idx="29">
                  <c:v>0.99619992011393788</c:v>
                </c:pt>
                <c:pt idx="30">
                  <c:v>0.99656137966619307</c:v>
                </c:pt>
                <c:pt idx="31">
                  <c:v>0.99694187264907552</c:v>
                </c:pt>
                <c:pt idx="32">
                  <c:v>0.99722906457061677</c:v>
                </c:pt>
                <c:pt idx="33">
                  <c:v>0.99753197876687827</c:v>
                </c:pt>
                <c:pt idx="34">
                  <c:v>0.99776110888405556</c:v>
                </c:pt>
                <c:pt idx="35">
                  <c:v>0.99800320441717671</c:v>
                </c:pt>
                <c:pt idx="36">
                  <c:v>0.99818668224513785</c:v>
                </c:pt>
                <c:pt idx="37">
                  <c:v>0.99838084223128409</c:v>
                </c:pt>
                <c:pt idx="38">
                  <c:v>0.99852824388982631</c:v>
                </c:pt>
                <c:pt idx="39">
                  <c:v>0.99868444240811927</c:v>
                </c:pt>
                <c:pt idx="40">
                  <c:v>0.99880320719178095</c:v>
                </c:pt>
                <c:pt idx="41">
                  <c:v>0.99892921483152286</c:v>
                </c:pt>
                <c:pt idx="42">
                  <c:v>0.99902515637672196</c:v>
                </c:pt>
                <c:pt idx="43">
                  <c:v>0.99912706109528926</c:v>
                </c:pt>
                <c:pt idx="44">
                  <c:v>0.99920474684726768</c:v>
                </c:pt>
                <c:pt idx="45">
                  <c:v>0.99928734252341145</c:v>
                </c:pt>
                <c:pt idx="46">
                  <c:v>0.99935037816423045</c:v>
                </c:pt>
                <c:pt idx="47">
                  <c:v>0.99941745704280405</c:v>
                </c:pt>
                <c:pt idx="48">
                  <c:v>0.99946870146754396</c:v>
                </c:pt>
                <c:pt idx="49">
                  <c:v>0.99952327599424362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55040"/>
        <c:axId val="112263168"/>
      </c:scatterChart>
      <c:valAx>
        <c:axId val="11205504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263168"/>
        <c:crosses val="autoZero"/>
        <c:crossBetween val="midCat"/>
      </c:valAx>
      <c:valAx>
        <c:axId val="112263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 resistant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0550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Probability of exceeding resistance thresholds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Results!$Q$18</c:f>
              <c:strCache>
                <c:ptCount val="1"/>
                <c:pt idx="0">
                  <c:v>RO</c:v>
                </c:pt>
              </c:strCache>
            </c:strRef>
          </c:tx>
          <c:dLbls>
            <c:showLegendKey val="0"/>
            <c:showVal val="0"/>
            <c:showCatName val="0"/>
            <c:showSerName val="1"/>
            <c:showPercent val="1"/>
            <c:showBubbleSize val="0"/>
            <c:showLeaderLines val="1"/>
          </c:dLbls>
          <c:cat>
            <c:strRef>
              <c:f>Results!$R$17:$S$17</c:f>
              <c:strCache>
                <c:ptCount val="2"/>
                <c:pt idx="0">
                  <c:v>Resistance Threshold Exceeded</c:v>
                </c:pt>
                <c:pt idx="1">
                  <c:v>Resistance Threshold Not Exceeded</c:v>
                </c:pt>
              </c:strCache>
            </c:strRef>
          </c:cat>
          <c:val>
            <c:numRef>
              <c:f>Results!$R$18:$S$18</c:f>
              <c:numCache>
                <c:formatCode>General</c:formatCode>
                <c:ptCount val="2"/>
                <c:pt idx="0">
                  <c:v>12</c:v>
                </c:pt>
                <c:pt idx="1">
                  <c:v>38</c:v>
                </c:pt>
              </c:numCache>
            </c:numRef>
          </c:val>
        </c:ser>
        <c:ser>
          <c:idx val="1"/>
          <c:order val="1"/>
          <c:tx>
            <c:strRef>
              <c:f>Results!$Q$19</c:f>
              <c:strCache>
                <c:ptCount val="1"/>
                <c:pt idx="0">
                  <c:v>CR</c:v>
                </c:pt>
              </c:strCache>
            </c:strRef>
          </c:tx>
          <c:dLbls>
            <c:showLegendKey val="0"/>
            <c:showVal val="0"/>
            <c:showCatName val="0"/>
            <c:showSerName val="1"/>
            <c:showPercent val="1"/>
            <c:showBubbleSize val="0"/>
            <c:showLeaderLines val="1"/>
          </c:dLbls>
          <c:cat>
            <c:strRef>
              <c:f>Results!$R$17:$S$17</c:f>
              <c:strCache>
                <c:ptCount val="2"/>
                <c:pt idx="0">
                  <c:v>Resistance Threshold Exceeded</c:v>
                </c:pt>
                <c:pt idx="1">
                  <c:v>Resistance Threshold Not Exceeded</c:v>
                </c:pt>
              </c:strCache>
            </c:strRef>
          </c:cat>
          <c:val>
            <c:numRef>
              <c:f>Results!$R$19:$S$19</c:f>
              <c:numCache>
                <c:formatCode>General</c:formatCode>
                <c:ptCount val="2"/>
                <c:pt idx="0">
                  <c:v>12</c:v>
                </c:pt>
                <c:pt idx="1">
                  <c:v>38</c:v>
                </c:pt>
              </c:numCache>
            </c:numRef>
          </c:val>
        </c:ser>
        <c:ser>
          <c:idx val="2"/>
          <c:order val="2"/>
          <c:tx>
            <c:strRef>
              <c:f>Results!$Q$20</c:f>
              <c:strCache>
                <c:ptCount val="1"/>
                <c:pt idx="0">
                  <c:v>TR</c:v>
                </c:pt>
              </c:strCache>
            </c:strRef>
          </c:tx>
          <c:dLbls>
            <c:showLegendKey val="0"/>
            <c:showVal val="0"/>
            <c:showCatName val="0"/>
            <c:showSerName val="1"/>
            <c:showPercent val="1"/>
            <c:showBubbleSize val="0"/>
            <c:showLeaderLines val="1"/>
          </c:dLbls>
          <c:cat>
            <c:strRef>
              <c:f>Results!$R$17:$S$17</c:f>
              <c:strCache>
                <c:ptCount val="2"/>
                <c:pt idx="0">
                  <c:v>Resistance Threshold Exceeded</c:v>
                </c:pt>
                <c:pt idx="1">
                  <c:v>Resistance Threshold Not Exceeded</c:v>
                </c:pt>
              </c:strCache>
            </c:strRef>
          </c:cat>
          <c:val>
            <c:numRef>
              <c:f>Results!$R$20:$S$20</c:f>
              <c:numCache>
                <c:formatCode>General</c:formatCode>
                <c:ptCount val="2"/>
                <c:pt idx="0">
                  <c:v>11.5</c:v>
                </c:pt>
                <c:pt idx="1">
                  <c:v>38.5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0"/>
      </c:doughnutChart>
    </c:plotArea>
    <c:legend>
      <c:legendPos val="r"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Results!$L$18:$L$27</c:f>
              <c:strCache>
                <c:ptCount val="10"/>
                <c:pt idx="0">
                  <c:v>0 - 0.1</c:v>
                </c:pt>
                <c:pt idx="1">
                  <c:v>0.1 - 0.2</c:v>
                </c:pt>
                <c:pt idx="2">
                  <c:v>0.2 - 0.3</c:v>
                </c:pt>
                <c:pt idx="3">
                  <c:v>0.3 - 0.4</c:v>
                </c:pt>
                <c:pt idx="4">
                  <c:v>0.4 - 0.5</c:v>
                </c:pt>
                <c:pt idx="5">
                  <c:v>0.5 - 0.6</c:v>
                </c:pt>
                <c:pt idx="6">
                  <c:v>0.6 - 0.7</c:v>
                </c:pt>
                <c:pt idx="7">
                  <c:v>0.7 - 0.8</c:v>
                </c:pt>
                <c:pt idx="8">
                  <c:v>0.8 - 0.9</c:v>
                </c:pt>
                <c:pt idx="9">
                  <c:v>0.9 - 1</c:v>
                </c:pt>
              </c:strCache>
            </c:strRef>
          </c:cat>
          <c:val>
            <c:numRef>
              <c:f>Results!$O$18:$O$27</c:f>
              <c:numCache>
                <c:formatCode>General</c:formatCode>
                <c:ptCount val="10"/>
                <c:pt idx="0">
                  <c:v>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9</c:v>
                </c:pt>
                <c:pt idx="8">
                  <c:v>11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782336"/>
        <c:axId val="111809664"/>
      </c:barChart>
      <c:catAx>
        <c:axId val="112782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Resistance Risk Integral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1809664"/>
        <c:crosses val="autoZero"/>
        <c:auto val="1"/>
        <c:lblAlgn val="ctr"/>
        <c:lblOffset val="100"/>
        <c:noMultiLvlLbl val="0"/>
      </c:catAx>
      <c:valAx>
        <c:axId val="111809664"/>
        <c:scaling>
          <c:orientation val="minMax"/>
        </c:scaling>
        <c:delete val="0"/>
        <c:axPos val="l"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278233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12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2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8</xdr:row>
          <xdr:rowOff>95250</xdr:rowOff>
        </xdr:from>
        <xdr:to>
          <xdr:col>6</xdr:col>
          <xdr:colOff>600075</xdr:colOff>
          <xdr:row>18</xdr:row>
          <xdr:rowOff>57150</xdr:rowOff>
        </xdr:to>
        <xdr:grpSp>
          <xdr:nvGrpSpPr>
            <xdr:cNvPr id="3" name="Group 2"/>
            <xdr:cNvGrpSpPr/>
          </xdr:nvGrpSpPr>
          <xdr:grpSpPr>
            <a:xfrm>
              <a:off x="2474595" y="1596390"/>
              <a:ext cx="1874520" cy="1737360"/>
              <a:chOff x="5638800" y="1971675"/>
              <a:chExt cx="1828800" cy="1809750"/>
            </a:xfrm>
          </xdr:grpSpPr>
          <xdr:sp macro="" textlink="">
            <xdr:nvSpPr>
              <xdr:cNvPr id="6145" name="Button 1" hidden="1">
                <a:extLst>
                  <a:ext uri="{63B3BB69-23CF-44E3-9099-C40C66FF867C}">
                    <a14:compatExt spid="_x0000_s6145"/>
                  </a:ext>
                </a:extLst>
              </xdr:cNvPr>
              <xdr:cNvSpPr/>
            </xdr:nvSpPr>
            <xdr:spPr>
              <a:xfrm>
                <a:off x="5638800" y="2733675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Specify main parameters</a:t>
                </a:r>
              </a:p>
            </xdr:txBody>
          </xdr:sp>
          <xdr:sp macro="" textlink="">
            <xdr:nvSpPr>
              <xdr:cNvPr id="6146" name="Button 2" hidden="1">
                <a:extLst>
                  <a:ext uri="{63B3BB69-23CF-44E3-9099-C40C66FF867C}">
                    <a14:compatExt spid="_x0000_s6146"/>
                  </a:ext>
                </a:extLst>
              </xdr:cNvPr>
              <xdr:cNvSpPr/>
            </xdr:nvSpPr>
            <xdr:spPr>
              <a:xfrm>
                <a:off x="5638800" y="2352675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Specify herbicide parameters</a:t>
                </a:r>
              </a:p>
            </xdr:txBody>
          </xdr:sp>
          <xdr:sp macro="" textlink="">
            <xdr:nvSpPr>
              <xdr:cNvPr id="6147" name="Button 3" hidden="1">
                <a:extLst>
                  <a:ext uri="{63B3BB69-23CF-44E3-9099-C40C66FF867C}">
                    <a14:compatExt spid="_x0000_s6147"/>
                  </a:ext>
                </a:extLst>
              </xdr:cNvPr>
              <xdr:cNvSpPr/>
            </xdr:nvSpPr>
            <xdr:spPr>
              <a:xfrm>
                <a:off x="5638800" y="3105150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View or edit database</a:t>
                </a:r>
              </a:p>
            </xdr:txBody>
          </xdr:sp>
          <xdr:sp macro="" textlink="">
            <xdr:nvSpPr>
              <xdr:cNvPr id="6149" name="Button 5" hidden="1">
                <a:extLst>
                  <a:ext uri="{63B3BB69-23CF-44E3-9099-C40C66FF867C}">
                    <a14:compatExt spid="_x0000_s6149"/>
                  </a:ext>
                </a:extLst>
              </xdr:cNvPr>
              <xdr:cNvSpPr/>
            </xdr:nvSpPr>
            <xdr:spPr>
              <a:xfrm>
                <a:off x="5638800" y="3476625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Run simulation</a:t>
                </a:r>
              </a:p>
            </xdr:txBody>
          </xdr:sp>
          <xdr:sp macro="" textlink="">
            <xdr:nvSpPr>
              <xdr:cNvPr id="6150" name="Button 6" hidden="1">
                <a:extLst>
                  <a:ext uri="{63B3BB69-23CF-44E3-9099-C40C66FF867C}">
                    <a14:compatExt spid="_x0000_s6150"/>
                  </a:ext>
                </a:extLst>
              </xdr:cNvPr>
              <xdr:cNvSpPr/>
            </xdr:nvSpPr>
            <xdr:spPr>
              <a:xfrm>
                <a:off x="5638800" y="1971675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Specify management practices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6</xdr:row>
          <xdr:rowOff>68580</xdr:rowOff>
        </xdr:from>
        <xdr:to>
          <xdr:col>6</xdr:col>
          <xdr:colOff>487680</xdr:colOff>
          <xdr:row>8</xdr:row>
          <xdr:rowOff>121920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management practices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571500</xdr:colOff>
          <xdr:row>1</xdr:row>
          <xdr:rowOff>133350</xdr:rowOff>
        </xdr:from>
        <xdr:to>
          <xdr:col>8</xdr:col>
          <xdr:colOff>28575</xdr:colOff>
          <xdr:row>3</xdr:row>
          <xdr:rowOff>57150</xdr:rowOff>
        </xdr:to>
        <xdr:grpSp>
          <xdr:nvGrpSpPr>
            <xdr:cNvPr id="4" name="Group 3"/>
            <xdr:cNvGrpSpPr/>
          </xdr:nvGrpSpPr>
          <xdr:grpSpPr>
            <a:xfrm>
              <a:off x="2019300" y="316230"/>
              <a:ext cx="4295775" cy="289560"/>
              <a:chOff x="1981200" y="323850"/>
              <a:chExt cx="4171950" cy="304800"/>
            </a:xfrm>
          </xdr:grpSpPr>
          <xdr:sp macro="" textlink="">
            <xdr:nvSpPr>
              <xdr:cNvPr id="12290" name="Button 2" hidden="1">
                <a:extLst>
                  <a:ext uri="{63B3BB69-23CF-44E3-9099-C40C66FF867C}">
                    <a14:compatExt spid="_x0000_s12290"/>
                  </a:ext>
                </a:extLst>
              </xdr:cNvPr>
              <xdr:cNvSpPr/>
            </xdr:nvSpPr>
            <xdr:spPr>
              <a:xfrm>
                <a:off x="1981200" y="323850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Return to menu</a:t>
                </a:r>
              </a:p>
            </xdr:txBody>
          </xdr:sp>
          <xdr:sp macro="" textlink="">
            <xdr:nvSpPr>
              <xdr:cNvPr id="12292" name="Button 4" hidden="1">
                <a:extLst>
                  <a:ext uri="{63B3BB69-23CF-44E3-9099-C40C66FF867C}">
                    <a14:compatExt spid="_x0000_s12292"/>
                  </a:ext>
                </a:extLst>
              </xdr:cNvPr>
              <xdr:cNvSpPr/>
            </xdr:nvSpPr>
            <xdr:spPr>
              <a:xfrm>
                <a:off x="4324350" y="323850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Next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121920</xdr:rowOff>
        </xdr:from>
        <xdr:to>
          <xdr:col>7</xdr:col>
          <xdr:colOff>876300</xdr:colOff>
          <xdr:row>7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herbicide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1</xdr:row>
          <xdr:rowOff>142875</xdr:rowOff>
        </xdr:from>
        <xdr:to>
          <xdr:col>8</xdr:col>
          <xdr:colOff>9525</xdr:colOff>
          <xdr:row>3</xdr:row>
          <xdr:rowOff>66675</xdr:rowOff>
        </xdr:to>
        <xdr:grpSp>
          <xdr:nvGrpSpPr>
            <xdr:cNvPr id="5" name="Group 4"/>
            <xdr:cNvGrpSpPr/>
          </xdr:nvGrpSpPr>
          <xdr:grpSpPr>
            <a:xfrm>
              <a:off x="2036445" y="325755"/>
              <a:ext cx="4290060" cy="289560"/>
              <a:chOff x="1990725" y="333375"/>
              <a:chExt cx="4162425" cy="304800"/>
            </a:xfrm>
          </xdr:grpSpPr>
          <xdr:sp macro="" textlink="">
            <xdr:nvSpPr>
              <xdr:cNvPr id="10242" name="Button 2" hidden="1">
                <a:extLst>
                  <a:ext uri="{63B3BB69-23CF-44E3-9099-C40C66FF867C}">
                    <a14:compatExt spid="_x0000_s10242"/>
                  </a:ext>
                </a:extLst>
              </xdr:cNvPr>
              <xdr:cNvSpPr/>
            </xdr:nvSpPr>
            <xdr:spPr>
              <a:xfrm>
                <a:off x="1990725" y="333375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Return to menu</a:t>
                </a:r>
              </a:p>
            </xdr:txBody>
          </xdr:sp>
          <xdr:sp macro="" textlink="">
            <xdr:nvSpPr>
              <xdr:cNvPr id="10244" name="Button 4" hidden="1">
                <a:extLst>
                  <a:ext uri="{63B3BB69-23CF-44E3-9099-C40C66FF867C}">
                    <a14:compatExt spid="_x0000_s10244"/>
                  </a:ext>
                </a:extLst>
              </xdr:cNvPr>
              <xdr:cNvSpPr/>
            </xdr:nvSpPr>
            <xdr:spPr>
              <a:xfrm>
                <a:off x="4324350" y="333375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Next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5</xdr:row>
          <xdr:rowOff>121920</xdr:rowOff>
        </xdr:from>
        <xdr:to>
          <xdr:col>5</xdr:col>
          <xdr:colOff>762000</xdr:colOff>
          <xdr:row>7</xdr:row>
          <xdr:rowOff>45720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does response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365760</xdr:colOff>
          <xdr:row>4</xdr:row>
          <xdr:rowOff>137160</xdr:rowOff>
        </xdr:from>
        <xdr:to>
          <xdr:col>6</xdr:col>
          <xdr:colOff>1379220</xdr:colOff>
          <xdr:row>6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1285875</xdr:colOff>
          <xdr:row>1</xdr:row>
          <xdr:rowOff>114300</xdr:rowOff>
        </xdr:from>
        <xdr:to>
          <xdr:col>7</xdr:col>
          <xdr:colOff>457200</xdr:colOff>
          <xdr:row>2</xdr:row>
          <xdr:rowOff>152400</xdr:rowOff>
        </xdr:to>
        <xdr:grpSp>
          <xdr:nvGrpSpPr>
            <xdr:cNvPr id="4" name="Group 3"/>
            <xdr:cNvGrpSpPr/>
          </xdr:nvGrpSpPr>
          <xdr:grpSpPr>
            <a:xfrm>
              <a:off x="3160395" y="297180"/>
              <a:ext cx="4231005" cy="304800"/>
              <a:chOff x="3648073" y="495300"/>
              <a:chExt cx="4095752" cy="304800"/>
            </a:xfrm>
          </xdr:grpSpPr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>
              <a:xfrm>
                <a:off x="3648073" y="495300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Return to menu</a:t>
                </a:r>
              </a:p>
            </xdr:txBody>
          </xdr:sp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>
              <a:xfrm>
                <a:off x="5915025" y="495300"/>
                <a:ext cx="1828800" cy="30480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Use default parameters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121920</xdr:rowOff>
        </xdr:from>
        <xdr:to>
          <xdr:col>8</xdr:col>
          <xdr:colOff>533400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525780</xdr:colOff>
          <xdr:row>1</xdr:row>
          <xdr:rowOff>144780</xdr:rowOff>
        </xdr:from>
        <xdr:to>
          <xdr:col>4</xdr:col>
          <xdr:colOff>975360</xdr:colOff>
          <xdr:row>3</xdr:row>
          <xdr:rowOff>45720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0.71978</cdr:x>
      <cdr:y>0.30643</cdr:y>
    </cdr:from>
    <cdr:to>
      <cdr:x>0.94414</cdr:x>
      <cdr:y>0.4338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238875" y="1928813"/>
          <a:ext cx="1944689" cy="801688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>
              <a:latin typeface="Garamond" panose="02020404030301010803" pitchFamily="18" charset="0"/>
            </a:rPr>
            <a:t>RO = resistance onset</a:t>
          </a:r>
        </a:p>
        <a:p xmlns:a="http://schemas.openxmlformats.org/drawingml/2006/main">
          <a:r>
            <a:rPr lang="en-US" sz="1400">
              <a:latin typeface="Garamond" panose="02020404030301010803" pitchFamily="18" charset="0"/>
            </a:rPr>
            <a:t>CR = critical resistance</a:t>
          </a:r>
        </a:p>
        <a:p xmlns:a="http://schemas.openxmlformats.org/drawingml/2006/main">
          <a:r>
            <a:rPr lang="en-US" sz="1400">
              <a:latin typeface="Garamond" panose="02020404030301010803" pitchFamily="18" charset="0"/>
            </a:rPr>
            <a:t>TR = total resistance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371475</xdr:colOff>
      <xdr:row>1</xdr:row>
      <xdr:rowOff>42861</xdr:rowOff>
    </xdr:from>
    <xdr:ext cx="3209925" cy="12632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371850" y="233361"/>
              <a:ext cx="3209925" cy="12632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0" i="1">
                        <a:latin typeface="Cambria Math"/>
                      </a:rPr>
                      <m:t>𝑦</m:t>
                    </m:r>
                    <m:r>
                      <a:rPr lang="en-US" sz="2400" b="0" i="1">
                        <a:latin typeface="Cambria Math"/>
                      </a:rPr>
                      <m:t>=</m:t>
                    </m:r>
                    <m:r>
                      <a:rPr lang="en-US" sz="2400" b="0" i="1">
                        <a:latin typeface="Cambria Math"/>
                      </a:rPr>
                      <m:t>𝑐</m:t>
                    </m:r>
                    <m:r>
                      <a:rPr lang="en-US" sz="2400" b="0" i="1">
                        <a:latin typeface="Cambria Math"/>
                      </a:rPr>
                      <m:t>+</m:t>
                    </m:r>
                    <m:f>
                      <m:fPr>
                        <m:ctrlPr>
                          <a:rPr lang="en-US" sz="24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2400" b="0" i="1">
                            <a:latin typeface="Cambria Math"/>
                          </a:rPr>
                          <m:t>𝑑</m:t>
                        </m:r>
                        <m:r>
                          <a:rPr lang="en-US" sz="2400" b="0" i="1">
                            <a:latin typeface="Cambria Math"/>
                          </a:rPr>
                          <m:t>−</m:t>
                        </m:r>
                        <m:r>
                          <a:rPr lang="en-US" sz="2400" b="0" i="1">
                            <a:latin typeface="Cambria Math"/>
                          </a:rPr>
                          <m:t>𝑐</m:t>
                        </m:r>
                      </m:num>
                      <m:den>
                        <m:r>
                          <a:rPr lang="en-US" sz="2400" b="0" i="1">
                            <a:latin typeface="Cambria Math"/>
                          </a:rPr>
                          <m:t>1+</m:t>
                        </m:r>
                        <m:sSup>
                          <m:sSupPr>
                            <m:ctrlPr>
                              <a:rPr lang="en-US" sz="2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2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2400" b="0" i="1">
                                        <a:latin typeface="Cambria Math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2400" b="0" i="1">
                                        <a:latin typeface="Cambria Math"/>
                                      </a:rPr>
                                      <m:t>𝑥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2400" b="0" i="1">
                                            <a:latin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m:rPr>
                                            <m:nor/>
                                          </m:rPr>
                                          <a:rPr lang="en-US" sz="2400" b="0" i="0">
                                            <a:latin typeface="Cambria Math"/>
                                          </a:rPr>
                                          <m:t>ED</m:t>
                                        </m:r>
                                      </m:e>
                                      <m:sub>
                                        <m:r>
                                          <a:rPr lang="en-US" sz="2400" b="0" i="1">
                                            <a:latin typeface="Cambria Math"/>
                                          </a:rPr>
                                          <m:t>50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2400" b="0" i="1">
                                <a:latin typeface="Cambria Math"/>
                              </a:rPr>
                              <m:t>𝑏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371850" y="233361"/>
              <a:ext cx="3209925" cy="12632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 xmlns:a14="http://schemas.microsoft.com/office/drawing/2010/main"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0" i="1">
                        <a:latin typeface="Cambria Math"/>
                      </a:rPr>
                      <m:t>𝑦</m:t>
                    </m:r>
                    <m:r>
                      <a:rPr lang="en-US" sz="2400" b="0" i="1">
                        <a:latin typeface="Cambria Math"/>
                      </a:rPr>
                      <m:t>=</m:t>
                    </m:r>
                    <m:r>
                      <a:rPr lang="en-US" sz="2400" b="0" i="1">
                        <a:latin typeface="Cambria Math"/>
                      </a:rPr>
                      <m:t>𝑐</m:t>
                    </m:r>
                    <m:r>
                      <a:rPr lang="en-US" sz="2400" b="0" i="1">
                        <a:latin typeface="Cambria Math"/>
                      </a:rPr>
                      <m:t>+</m:t>
                    </m:r>
                    <m:f>
                      <m:fPr>
                        <m:ctrlPr>
                          <a:rPr lang="en-US" sz="24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2400" b="0" i="1">
                            <a:latin typeface="Cambria Math"/>
                          </a:rPr>
                          <m:t>𝑑</m:t>
                        </m:r>
                        <m:r>
                          <a:rPr lang="en-US" sz="2400" b="0" i="1">
                            <a:latin typeface="Cambria Math"/>
                          </a:rPr>
                          <m:t>−</m:t>
                        </m:r>
                        <m:r>
                          <a:rPr lang="en-US" sz="2400" b="0" i="1">
                            <a:latin typeface="Cambria Math"/>
                          </a:rPr>
                          <m:t>𝑐</m:t>
                        </m:r>
                      </m:num>
                      <m:den>
                        <m:r>
                          <a:rPr lang="en-US" sz="2400" b="0" i="1">
                            <a:latin typeface="Cambria Math"/>
                          </a:rPr>
                          <m:t>1+</m:t>
                        </m:r>
                        <m:sSup>
                          <m:sSupPr>
                            <m:ctrlPr>
                              <a:rPr lang="en-US" sz="2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2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2400" b="0" i="1">
                                        <a:latin typeface="Cambria Math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2400" b="0" i="1">
                                        <a:latin typeface="Cambria Math"/>
                                      </a:rPr>
                                      <m:t>𝑥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2400" b="0" i="1">
                                            <a:latin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m:rPr>
                                            <m:nor/>
                                          </m:rPr>
                                          <a:rPr lang="en-US" sz="2400" b="0" i="0">
                                            <a:latin typeface="Cambria Math"/>
                                          </a:rPr>
                                          <m:t>ED</m:t>
                                        </m:r>
                                      </m:e>
                                      <m:sub>
                                        <m:r>
                                          <a:rPr lang="en-US" sz="2400" b="0" i="1">
                                            <a:latin typeface="Cambria Math"/>
                                          </a:rPr>
                                          <m:t>50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2400" b="0" i="1">
                                <a:latin typeface="Cambria Math"/>
                              </a:rPr>
                              <m:t>𝑏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18</xdr:row>
          <xdr:rowOff>152400</xdr:rowOff>
        </xdr:from>
        <xdr:to>
          <xdr:col>4</xdr:col>
          <xdr:colOff>655320</xdr:colOff>
          <xdr:row>20</xdr:row>
          <xdr:rowOff>45720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Herbicide Parameters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nu"/>
  <dimension ref="A1:J20"/>
  <sheetViews>
    <sheetView workbookViewId="0">
      <selection activeCell="K12" sqref="K12"/>
    </sheetView>
  </sheetViews>
  <sheetFormatPr defaultColWidth="9.109375" defaultRowHeight="14.4" x14ac:dyDescent="0.3"/>
  <cols>
    <col min="1" max="8" width="9.109375" style="28"/>
    <col min="9" max="9" width="9.109375" style="28" customWidth="1"/>
    <col min="10" max="16384" width="9.109375" style="28"/>
  </cols>
  <sheetData>
    <row r="1" spans="1:10" x14ac:dyDescent="0.35">
      <c r="A1" s="2"/>
    </row>
    <row r="2" spans="1:10" ht="15" customHeight="1" x14ac:dyDescent="0.3">
      <c r="B2" s="159" t="s">
        <v>31</v>
      </c>
      <c r="C2" s="160"/>
      <c r="D2" s="160"/>
      <c r="E2" s="160"/>
      <c r="F2" s="160"/>
      <c r="G2" s="160"/>
      <c r="H2" s="160"/>
      <c r="I2" s="160"/>
      <c r="J2" s="160"/>
    </row>
    <row r="3" spans="1:10" ht="15" customHeight="1" x14ac:dyDescent="0.3">
      <c r="B3" s="161"/>
      <c r="C3" s="162"/>
      <c r="D3" s="162"/>
      <c r="E3" s="162"/>
      <c r="F3" s="162"/>
      <c r="G3" s="162"/>
      <c r="H3" s="162"/>
      <c r="I3" s="162"/>
      <c r="J3" s="162"/>
    </row>
    <row r="4" spans="1:10" ht="15" customHeight="1" x14ac:dyDescent="0.3">
      <c r="B4" s="163"/>
      <c r="C4" s="164"/>
      <c r="D4" s="164"/>
      <c r="E4" s="164"/>
      <c r="F4" s="164"/>
      <c r="G4" s="164"/>
      <c r="H4" s="164"/>
      <c r="I4" s="164"/>
      <c r="J4" s="164"/>
    </row>
    <row r="6" spans="1:10" x14ac:dyDescent="0.3">
      <c r="D6" s="153" t="s">
        <v>26</v>
      </c>
      <c r="E6" s="154"/>
      <c r="F6" s="154"/>
      <c r="G6" s="154"/>
      <c r="H6" s="155"/>
    </row>
    <row r="7" spans="1:10" ht="15" thickBot="1" x14ac:dyDescent="0.35">
      <c r="D7" s="156"/>
      <c r="E7" s="157"/>
      <c r="F7" s="157"/>
      <c r="G7" s="157"/>
      <c r="H7" s="158"/>
    </row>
    <row r="8" spans="1:10" ht="15" thickTop="1" x14ac:dyDescent="0.35">
      <c r="D8" s="29"/>
      <c r="E8" s="30"/>
      <c r="F8" s="30"/>
      <c r="G8" s="30"/>
      <c r="H8" s="31"/>
    </row>
    <row r="9" spans="1:10" x14ac:dyDescent="0.35">
      <c r="D9" s="32"/>
      <c r="E9" s="33"/>
      <c r="F9" s="33"/>
      <c r="G9" s="33"/>
      <c r="H9" s="34"/>
    </row>
    <row r="10" spans="1:10" x14ac:dyDescent="0.35">
      <c r="D10" s="32"/>
      <c r="E10" s="33"/>
      <c r="F10" s="33"/>
      <c r="G10" s="33"/>
      <c r="H10" s="34"/>
    </row>
    <row r="11" spans="1:10" x14ac:dyDescent="0.35">
      <c r="D11" s="32"/>
      <c r="E11" s="33"/>
      <c r="F11" s="33"/>
      <c r="G11" s="33"/>
      <c r="H11" s="34"/>
    </row>
    <row r="12" spans="1:10" x14ac:dyDescent="0.35">
      <c r="D12" s="32"/>
      <c r="E12" s="33"/>
      <c r="F12" s="33"/>
      <c r="G12" s="33"/>
      <c r="H12" s="34"/>
    </row>
    <row r="13" spans="1:10" x14ac:dyDescent="0.35">
      <c r="D13" s="32"/>
      <c r="E13" s="33"/>
      <c r="F13" s="33"/>
      <c r="G13" s="33"/>
      <c r="H13" s="34"/>
    </row>
    <row r="14" spans="1:10" x14ac:dyDescent="0.35">
      <c r="D14" s="32"/>
      <c r="E14" s="33"/>
      <c r="F14" s="33"/>
      <c r="G14" s="33"/>
      <c r="H14" s="34"/>
    </row>
    <row r="15" spans="1:10" x14ac:dyDescent="0.35">
      <c r="D15" s="32"/>
      <c r="E15" s="33"/>
      <c r="F15" s="33"/>
      <c r="G15" s="33"/>
      <c r="H15" s="34"/>
    </row>
    <row r="16" spans="1:10" x14ac:dyDescent="0.35">
      <c r="D16" s="32"/>
      <c r="E16" s="33"/>
      <c r="F16" s="33"/>
      <c r="G16" s="33"/>
      <c r="H16" s="34"/>
    </row>
    <row r="17" spans="4:8" ht="14.25" customHeight="1" x14ac:dyDescent="0.25">
      <c r="D17" s="32"/>
      <c r="E17" s="33"/>
      <c r="F17" s="33"/>
      <c r="G17" s="33"/>
      <c r="H17" s="34"/>
    </row>
    <row r="18" spans="4:8" ht="11.25" customHeight="1" x14ac:dyDescent="0.25">
      <c r="D18" s="32"/>
      <c r="E18" s="33"/>
      <c r="F18" s="33"/>
      <c r="G18" s="33"/>
      <c r="H18" s="34"/>
    </row>
    <row r="19" spans="4:8" ht="15" x14ac:dyDescent="0.25">
      <c r="D19" s="32"/>
      <c r="E19" s="33"/>
      <c r="F19" s="33"/>
      <c r="G19" s="33"/>
      <c r="H19" s="34"/>
    </row>
    <row r="20" spans="4:8" ht="15" x14ac:dyDescent="0.25">
      <c r="D20" s="35"/>
      <c r="E20" s="36"/>
      <c r="F20" s="36"/>
      <c r="G20" s="36"/>
      <c r="H20" s="37"/>
    </row>
  </sheetData>
  <sheetProtection selectLockedCells="1"/>
  <mergeCells count="2">
    <mergeCell ref="D6:H7"/>
    <mergeCell ref="B2:J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enu_Button3_Click">
                <anchor>
                  <from>
                    <xdr:col>3</xdr:col>
                    <xdr:colOff>601980</xdr:colOff>
                    <xdr:row>12</xdr:row>
                    <xdr:rowOff>99060</xdr:rowOff>
                  </from>
                  <to>
                    <xdr:col>6</xdr:col>
                    <xdr:colOff>601980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enu_Button2_Click">
                <anchor>
                  <from>
                    <xdr:col>3</xdr:col>
                    <xdr:colOff>601980</xdr:colOff>
                    <xdr:row>10</xdr:row>
                    <xdr:rowOff>99060</xdr:rowOff>
                  </from>
                  <to>
                    <xdr:col>6</xdr:col>
                    <xdr:colOff>601980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nu_Button4_Click">
                <anchor>
                  <from>
                    <xdr:col>3</xdr:col>
                    <xdr:colOff>601980</xdr:colOff>
                    <xdr:row>14</xdr:row>
                    <xdr:rowOff>83820</xdr:rowOff>
                  </from>
                  <to>
                    <xdr:col>6</xdr:col>
                    <xdr:colOff>601980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ExportAndRun_Click">
                <anchor>
                  <from>
                    <xdr:col>3</xdr:col>
                    <xdr:colOff>601980</xdr:colOff>
                    <xdr:row>16</xdr:row>
                    <xdr:rowOff>76200</xdr:rowOff>
                  </from>
                  <to>
                    <xdr:col>6</xdr:col>
                    <xdr:colOff>601980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Menu_Button1_Click">
                <anchor moveWithCells="1" sizeWithCells="1">
                  <from>
                    <xdr:col>3</xdr:col>
                    <xdr:colOff>601980</xdr:colOff>
                    <xdr:row>8</xdr:row>
                    <xdr:rowOff>99060</xdr:rowOff>
                  </from>
                  <to>
                    <xdr:col>6</xdr:col>
                    <xdr:colOff>601980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ngPrac"/>
  <dimension ref="B2:J21"/>
  <sheetViews>
    <sheetView tabSelected="1" workbookViewId="0">
      <selection activeCell="C12" sqref="C12"/>
    </sheetView>
  </sheetViews>
  <sheetFormatPr defaultColWidth="9.109375" defaultRowHeight="14.4" x14ac:dyDescent="0.3"/>
  <cols>
    <col min="1" max="1" width="9.109375" style="2"/>
    <col min="2" max="2" width="12" style="2" customWidth="1"/>
    <col min="3" max="3" width="10.33203125" style="2" customWidth="1"/>
    <col min="4" max="4" width="9.5546875" style="2" customWidth="1"/>
    <col min="5" max="16" width="12.6640625" style="2" customWidth="1"/>
    <col min="17" max="16384" width="9.109375" style="2"/>
  </cols>
  <sheetData>
    <row r="2" spans="2:10" x14ac:dyDescent="0.35">
      <c r="B2" s="1"/>
      <c r="C2" s="1"/>
      <c r="D2" s="1"/>
      <c r="E2" s="1"/>
      <c r="F2" s="1"/>
      <c r="G2" s="1"/>
      <c r="H2" s="1"/>
      <c r="I2" s="1"/>
      <c r="J2" s="1"/>
    </row>
    <row r="3" spans="2:10" x14ac:dyDescent="0.35">
      <c r="B3" s="1"/>
      <c r="C3" s="1"/>
      <c r="D3" s="1"/>
      <c r="E3" s="1"/>
      <c r="F3" s="1"/>
      <c r="G3" s="1"/>
      <c r="H3" s="1"/>
      <c r="I3" s="1"/>
      <c r="J3" s="1"/>
    </row>
    <row r="4" spans="2:10" x14ac:dyDescent="0.35">
      <c r="B4" s="1"/>
      <c r="C4" s="1"/>
      <c r="D4" s="1"/>
      <c r="E4" s="1"/>
      <c r="F4" s="1"/>
      <c r="G4" s="1"/>
      <c r="H4" s="1"/>
      <c r="I4" s="1"/>
      <c r="J4" s="1"/>
    </row>
    <row r="7" spans="2:10" x14ac:dyDescent="0.35">
      <c r="E7" s="27"/>
      <c r="F7" s="27"/>
      <c r="G7" s="27"/>
    </row>
    <row r="8" spans="2:10" x14ac:dyDescent="0.35">
      <c r="E8" s="27"/>
      <c r="F8" s="27"/>
      <c r="G8" s="27"/>
    </row>
    <row r="9" spans="2:10" x14ac:dyDescent="0.35">
      <c r="E9" s="27"/>
      <c r="F9" s="27"/>
      <c r="G9" s="27"/>
    </row>
    <row r="11" spans="2:10" ht="56.25" customHeight="1" x14ac:dyDescent="0.25">
      <c r="B11" s="38" t="s">
        <v>41</v>
      </c>
      <c r="C11" s="38" t="s">
        <v>113</v>
      </c>
      <c r="D11" s="38" t="s">
        <v>114</v>
      </c>
      <c r="E11" s="38" t="s">
        <v>115</v>
      </c>
      <c r="F11" s="38" t="s">
        <v>116</v>
      </c>
      <c r="G11" s="38" t="s">
        <v>50</v>
      </c>
      <c r="H11" s="38" t="s">
        <v>51</v>
      </c>
      <c r="I11" s="38" t="s">
        <v>52</v>
      </c>
      <c r="J11" s="38" t="s">
        <v>53</v>
      </c>
    </row>
    <row r="12" spans="2:10" x14ac:dyDescent="0.3">
      <c r="B12" s="40">
        <v>1</v>
      </c>
      <c r="C12" s="40">
        <v>0</v>
      </c>
      <c r="D12" s="40">
        <v>0</v>
      </c>
      <c r="E12" s="40">
        <v>0</v>
      </c>
      <c r="F12" s="40">
        <v>0</v>
      </c>
      <c r="G12" s="40">
        <v>1.7</v>
      </c>
      <c r="H12" s="40">
        <v>0</v>
      </c>
      <c r="I12" s="40">
        <v>0</v>
      </c>
      <c r="J12" s="40">
        <v>0</v>
      </c>
    </row>
    <row r="13" spans="2:10" x14ac:dyDescent="0.3">
      <c r="B13" s="234">
        <v>2</v>
      </c>
      <c r="C13" s="234">
        <v>0</v>
      </c>
      <c r="D13" s="234">
        <v>0</v>
      </c>
      <c r="E13" s="234">
        <v>0</v>
      </c>
      <c r="F13" s="234">
        <v>0</v>
      </c>
      <c r="G13" s="234">
        <v>1.7</v>
      </c>
      <c r="H13" s="234">
        <v>0</v>
      </c>
      <c r="I13" s="234">
        <v>0</v>
      </c>
      <c r="J13" s="234">
        <v>0</v>
      </c>
    </row>
    <row r="14" spans="2:10" x14ac:dyDescent="0.3">
      <c r="B14" s="40">
        <v>3</v>
      </c>
      <c r="C14" s="40">
        <v>0</v>
      </c>
      <c r="D14" s="40">
        <v>0</v>
      </c>
      <c r="E14" s="40">
        <v>0</v>
      </c>
      <c r="F14" s="40">
        <v>0</v>
      </c>
      <c r="G14" s="40">
        <v>1.7</v>
      </c>
      <c r="H14" s="40">
        <v>0</v>
      </c>
      <c r="I14" s="40">
        <v>0</v>
      </c>
      <c r="J14" s="40">
        <v>0</v>
      </c>
    </row>
    <row r="15" spans="2:10" x14ac:dyDescent="0.3">
      <c r="B15" s="234">
        <v>4</v>
      </c>
      <c r="C15" s="234">
        <v>0</v>
      </c>
      <c r="D15" s="234">
        <v>0</v>
      </c>
      <c r="E15" s="234">
        <v>0</v>
      </c>
      <c r="F15" s="234">
        <v>0</v>
      </c>
      <c r="G15" s="234">
        <v>1.7</v>
      </c>
      <c r="H15" s="234">
        <v>0</v>
      </c>
      <c r="I15" s="234">
        <v>0</v>
      </c>
      <c r="J15" s="234">
        <v>0</v>
      </c>
    </row>
    <row r="16" spans="2:10" x14ac:dyDescent="0.3">
      <c r="B16" s="40">
        <v>5</v>
      </c>
      <c r="C16" s="40">
        <v>0</v>
      </c>
      <c r="D16" s="40">
        <v>0</v>
      </c>
      <c r="E16" s="40">
        <v>0</v>
      </c>
      <c r="F16" s="40">
        <v>0</v>
      </c>
      <c r="G16" s="40">
        <v>1.7</v>
      </c>
      <c r="H16" s="40">
        <v>0</v>
      </c>
      <c r="I16" s="40">
        <v>0</v>
      </c>
      <c r="J16" s="40">
        <v>0</v>
      </c>
    </row>
    <row r="17" spans="2:10" x14ac:dyDescent="0.3">
      <c r="B17" s="234">
        <v>6</v>
      </c>
      <c r="C17" s="234">
        <v>0</v>
      </c>
      <c r="D17" s="234">
        <v>0</v>
      </c>
      <c r="E17" s="234">
        <v>0</v>
      </c>
      <c r="F17" s="234">
        <v>0</v>
      </c>
      <c r="G17" s="234">
        <v>1.7</v>
      </c>
      <c r="H17" s="234">
        <v>0</v>
      </c>
      <c r="I17" s="234">
        <v>0</v>
      </c>
      <c r="J17" s="234">
        <v>0</v>
      </c>
    </row>
    <row r="18" spans="2:10" x14ac:dyDescent="0.3">
      <c r="B18" s="40">
        <v>7</v>
      </c>
      <c r="C18" s="40">
        <v>0</v>
      </c>
      <c r="D18" s="40">
        <v>0</v>
      </c>
      <c r="E18" s="40">
        <v>0</v>
      </c>
      <c r="F18" s="40">
        <v>0</v>
      </c>
      <c r="G18" s="40">
        <v>1.7</v>
      </c>
      <c r="H18" s="40">
        <v>0</v>
      </c>
      <c r="I18" s="40">
        <v>0</v>
      </c>
      <c r="J18" s="40">
        <v>0</v>
      </c>
    </row>
    <row r="19" spans="2:10" x14ac:dyDescent="0.3">
      <c r="B19" s="234">
        <v>8</v>
      </c>
      <c r="C19" s="234">
        <v>0</v>
      </c>
      <c r="D19" s="234">
        <v>0</v>
      </c>
      <c r="E19" s="234">
        <v>0</v>
      </c>
      <c r="F19" s="234">
        <v>0</v>
      </c>
      <c r="G19" s="234">
        <v>1.7</v>
      </c>
      <c r="H19" s="234">
        <v>0</v>
      </c>
      <c r="I19" s="234">
        <v>0</v>
      </c>
      <c r="J19" s="234">
        <v>0</v>
      </c>
    </row>
    <row r="20" spans="2:10" x14ac:dyDescent="0.3">
      <c r="B20" s="40">
        <v>9</v>
      </c>
      <c r="C20" s="40">
        <v>0</v>
      </c>
      <c r="D20" s="40">
        <v>0</v>
      </c>
      <c r="E20" s="40">
        <v>0</v>
      </c>
      <c r="F20" s="40">
        <v>0</v>
      </c>
      <c r="G20" s="40">
        <v>1.7</v>
      </c>
      <c r="H20" s="40">
        <v>0</v>
      </c>
      <c r="I20" s="40">
        <v>0</v>
      </c>
      <c r="J20" s="40">
        <v>0</v>
      </c>
    </row>
    <row r="21" spans="2:10" x14ac:dyDescent="0.3">
      <c r="B21" s="149">
        <v>10</v>
      </c>
      <c r="C21" s="149">
        <v>0</v>
      </c>
      <c r="D21" s="149">
        <v>0</v>
      </c>
      <c r="E21" s="149">
        <v>0</v>
      </c>
      <c r="F21" s="149">
        <v>0</v>
      </c>
      <c r="G21" s="149">
        <v>1.7</v>
      </c>
      <c r="H21" s="149">
        <v>0</v>
      </c>
      <c r="I21" s="149">
        <v>0</v>
      </c>
      <c r="J21" s="149">
        <v>0</v>
      </c>
    </row>
  </sheetData>
  <sheetProtection selectLockedCells="1"/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nagementPractices_Button1_Click">
                <anchor>
                  <from>
                    <xdr:col>4</xdr:col>
                    <xdr:colOff>419100</xdr:colOff>
                    <xdr:row>6</xdr:row>
                    <xdr:rowOff>68580</xdr:rowOff>
                  </from>
                  <to>
                    <xdr:col>6</xdr:col>
                    <xdr:colOff>487680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ManagementPractices_Button2_Click">
                <anchor>
                  <from>
                    <xdr:col>2</xdr:col>
                    <xdr:colOff>571500</xdr:colOff>
                    <xdr:row>1</xdr:row>
                    <xdr:rowOff>137160</xdr:rowOff>
                  </from>
                  <to>
                    <xdr:col>5</xdr:col>
                    <xdr:colOff>220980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anagementPractices_Button3_Click">
                <anchor>
                  <from>
                    <xdr:col>5</xdr:col>
                    <xdr:colOff>754380</xdr:colOff>
                    <xdr:row>1</xdr:row>
                    <xdr:rowOff>137160</xdr:rowOff>
                  </from>
                  <to>
                    <xdr:col>8</xdr:col>
                    <xdr:colOff>30480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erbParams"/>
  <dimension ref="B2:J118"/>
  <sheetViews>
    <sheetView workbookViewId="0">
      <selection activeCell="E13" sqref="E13"/>
    </sheetView>
  </sheetViews>
  <sheetFormatPr defaultColWidth="9.109375" defaultRowHeight="14.4" x14ac:dyDescent="0.3"/>
  <cols>
    <col min="1" max="1" width="9.109375" style="2"/>
    <col min="2" max="3" width="9.109375" style="2" customWidth="1"/>
    <col min="4" max="4" width="6.33203125" style="2" customWidth="1"/>
    <col min="5" max="5" width="12.109375" style="2" customWidth="1"/>
    <col min="6" max="8" width="15.44140625" style="2" customWidth="1"/>
    <col min="9" max="9" width="13.109375" style="2" customWidth="1"/>
    <col min="10" max="16384" width="9.109375" style="2"/>
  </cols>
  <sheetData>
    <row r="2" spans="2:10" x14ac:dyDescent="0.35">
      <c r="B2" s="1"/>
      <c r="C2" s="6"/>
      <c r="D2" s="6"/>
      <c r="E2" s="6"/>
      <c r="F2" s="6"/>
      <c r="G2" s="6"/>
      <c r="H2" s="6"/>
      <c r="I2" s="6"/>
      <c r="J2" s="1"/>
    </row>
    <row r="3" spans="2:10" x14ac:dyDescent="0.35">
      <c r="B3" s="1"/>
      <c r="C3" s="129"/>
      <c r="D3" s="129"/>
      <c r="E3" s="129"/>
      <c r="F3" s="129"/>
      <c r="G3" s="129"/>
      <c r="H3" s="129"/>
      <c r="I3" s="129"/>
      <c r="J3" s="1"/>
    </row>
    <row r="4" spans="2:10" x14ac:dyDescent="0.35">
      <c r="B4" s="1"/>
      <c r="C4" s="129"/>
      <c r="D4" s="129"/>
      <c r="E4" s="129"/>
      <c r="F4" s="129"/>
      <c r="G4" s="129"/>
      <c r="H4" s="129"/>
      <c r="I4" s="129"/>
      <c r="J4" s="1"/>
    </row>
    <row r="6" spans="2:10" x14ac:dyDescent="0.35">
      <c r="D6" s="130"/>
      <c r="E6" s="130"/>
      <c r="F6" s="130"/>
      <c r="G6" s="130"/>
      <c r="H6" s="130"/>
    </row>
    <row r="7" spans="2:10" x14ac:dyDescent="0.35">
      <c r="D7" s="130"/>
      <c r="E7" s="130"/>
      <c r="F7" s="130"/>
      <c r="G7" s="130"/>
      <c r="H7" s="130"/>
    </row>
    <row r="8" spans="2:10" x14ac:dyDescent="0.35">
      <c r="D8" s="130"/>
      <c r="E8" s="130"/>
      <c r="F8" s="130"/>
      <c r="G8" s="130"/>
      <c r="H8" s="130"/>
    </row>
    <row r="10" spans="2:10" ht="19.5" customHeight="1" x14ac:dyDescent="0.35">
      <c r="D10" s="61"/>
      <c r="E10" s="170" t="s">
        <v>27</v>
      </c>
      <c r="F10" s="170"/>
      <c r="G10" s="170"/>
      <c r="H10" s="171"/>
    </row>
    <row r="11" spans="2:10" ht="15" customHeight="1" x14ac:dyDescent="0.3">
      <c r="D11" s="172" t="s">
        <v>41</v>
      </c>
      <c r="E11" s="173" t="s">
        <v>43</v>
      </c>
      <c r="F11" s="174"/>
      <c r="G11" s="174"/>
      <c r="H11" s="175"/>
    </row>
    <row r="12" spans="2:10" x14ac:dyDescent="0.3">
      <c r="D12" s="166"/>
      <c r="E12" s="56" t="s">
        <v>58</v>
      </c>
      <c r="F12" s="57" t="s">
        <v>28</v>
      </c>
      <c r="G12" s="57" t="s">
        <v>29</v>
      </c>
      <c r="H12" s="57" t="s">
        <v>30</v>
      </c>
    </row>
    <row r="13" spans="2:10" ht="15" x14ac:dyDescent="0.25">
      <c r="D13" s="40">
        <v>1</v>
      </c>
      <c r="E13" s="39">
        <v>1</v>
      </c>
      <c r="F13" s="41">
        <v>0.95542449486006309</v>
      </c>
      <c r="G13" s="41">
        <v>0.28430299617126464</v>
      </c>
      <c r="H13" s="40">
        <v>7.4659316609374887E-2</v>
      </c>
    </row>
    <row r="14" spans="2:10" ht="15" x14ac:dyDescent="0.25">
      <c r="D14" s="149">
        <v>2</v>
      </c>
      <c r="E14" s="43">
        <v>1</v>
      </c>
      <c r="F14" s="42">
        <v>0.95542449486006309</v>
      </c>
      <c r="G14" s="42">
        <v>0.28430299617126464</v>
      </c>
      <c r="H14" s="149">
        <v>7.4659316609374887E-2</v>
      </c>
    </row>
    <row r="15" spans="2:10" ht="15" x14ac:dyDescent="0.25">
      <c r="D15" s="144">
        <v>3</v>
      </c>
      <c r="E15" s="152">
        <v>1</v>
      </c>
      <c r="F15" s="151">
        <v>0.95542449486006309</v>
      </c>
      <c r="G15" s="151">
        <v>0.28430299617126464</v>
      </c>
      <c r="H15" s="144">
        <v>7.4659316609374887E-2</v>
      </c>
    </row>
    <row r="16" spans="2:10" ht="15" x14ac:dyDescent="0.25">
      <c r="D16" s="149">
        <v>4</v>
      </c>
      <c r="E16" s="43">
        <v>1</v>
      </c>
      <c r="F16" s="42">
        <v>0.95542449486006309</v>
      </c>
      <c r="G16" s="42">
        <v>0.28430299617126464</v>
      </c>
      <c r="H16" s="149">
        <v>7.4659316609374887E-2</v>
      </c>
    </row>
    <row r="17" spans="4:8" ht="15" x14ac:dyDescent="0.25">
      <c r="D17" s="144">
        <v>5</v>
      </c>
      <c r="E17" s="152">
        <v>1</v>
      </c>
      <c r="F17" s="151">
        <v>0.95542449486006309</v>
      </c>
      <c r="G17" s="151">
        <v>0.28430299617126464</v>
      </c>
      <c r="H17" s="144">
        <v>7.4659316609374887E-2</v>
      </c>
    </row>
    <row r="18" spans="4:8" ht="15" x14ac:dyDescent="0.25">
      <c r="D18" s="149">
        <v>6</v>
      </c>
      <c r="E18" s="43">
        <v>1</v>
      </c>
      <c r="F18" s="42">
        <v>0.95542449486006309</v>
      </c>
      <c r="G18" s="42">
        <v>0.28430299617126464</v>
      </c>
      <c r="H18" s="149">
        <v>7.4659316609374887E-2</v>
      </c>
    </row>
    <row r="19" spans="4:8" ht="15" x14ac:dyDescent="0.25">
      <c r="D19" s="144">
        <v>7</v>
      </c>
      <c r="E19" s="152">
        <v>1</v>
      </c>
      <c r="F19" s="151">
        <v>0.95542449486006309</v>
      </c>
      <c r="G19" s="151">
        <v>0.28430299617126464</v>
      </c>
      <c r="H19" s="144">
        <v>7.4659316609374887E-2</v>
      </c>
    </row>
    <row r="20" spans="4:8" ht="15" x14ac:dyDescent="0.25">
      <c r="D20" s="149">
        <v>8</v>
      </c>
      <c r="E20" s="43">
        <v>1</v>
      </c>
      <c r="F20" s="42">
        <v>0.95542449486006309</v>
      </c>
      <c r="G20" s="42">
        <v>0.28430299617126464</v>
      </c>
      <c r="H20" s="149">
        <v>7.4659316609374887E-2</v>
      </c>
    </row>
    <row r="21" spans="4:8" ht="15" x14ac:dyDescent="0.25">
      <c r="D21" s="144">
        <v>9</v>
      </c>
      <c r="E21" s="152">
        <v>1</v>
      </c>
      <c r="F21" s="151">
        <v>0.95542449486006309</v>
      </c>
      <c r="G21" s="151">
        <v>0.28430299617126464</v>
      </c>
      <c r="H21" s="144">
        <v>7.4659316609374887E-2</v>
      </c>
    </row>
    <row r="22" spans="4:8" ht="15" x14ac:dyDescent="0.25">
      <c r="D22" s="149">
        <v>10</v>
      </c>
      <c r="E22" s="43">
        <v>1</v>
      </c>
      <c r="F22" s="42">
        <v>0.95542449486006309</v>
      </c>
      <c r="G22" s="42">
        <v>0.28430299617126464</v>
      </c>
      <c r="H22" s="149">
        <v>7.4659316609374887E-2</v>
      </c>
    </row>
    <row r="23" spans="4:8" ht="15" x14ac:dyDescent="0.25">
      <c r="D23" s="144">
        <v>11</v>
      </c>
      <c r="E23" s="152">
        <v>1</v>
      </c>
      <c r="F23" s="151">
        <v>0.95542449486006309</v>
      </c>
      <c r="G23" s="151">
        <v>0.28430299617126464</v>
      </c>
      <c r="H23" s="144">
        <v>7.4659316609374887E-2</v>
      </c>
    </row>
    <row r="24" spans="4:8" ht="15" x14ac:dyDescent="0.25">
      <c r="D24" s="149">
        <v>12</v>
      </c>
      <c r="E24" s="43">
        <v>1</v>
      </c>
      <c r="F24" s="42">
        <v>0.95542449486006309</v>
      </c>
      <c r="G24" s="42">
        <v>0.28430299617126464</v>
      </c>
      <c r="H24" s="149">
        <v>7.4659316609374887E-2</v>
      </c>
    </row>
    <row r="25" spans="4:8" ht="15" x14ac:dyDescent="0.25">
      <c r="D25" s="144">
        <v>13</v>
      </c>
      <c r="E25" s="152">
        <v>1</v>
      </c>
      <c r="F25" s="151">
        <v>0.95542449486006309</v>
      </c>
      <c r="G25" s="151">
        <v>0.28430299617126464</v>
      </c>
      <c r="H25" s="144">
        <v>7.4659316609374887E-2</v>
      </c>
    </row>
    <row r="26" spans="4:8" ht="15" x14ac:dyDescent="0.25">
      <c r="D26" s="149">
        <v>14</v>
      </c>
      <c r="E26" s="43">
        <v>1</v>
      </c>
      <c r="F26" s="42">
        <v>0.95542449486006309</v>
      </c>
      <c r="G26" s="42">
        <v>0.28430299617126464</v>
      </c>
      <c r="H26" s="149">
        <v>7.4659316609374887E-2</v>
      </c>
    </row>
    <row r="27" spans="4:8" ht="15" x14ac:dyDescent="0.25">
      <c r="D27" s="144">
        <v>15</v>
      </c>
      <c r="E27" s="152">
        <v>1</v>
      </c>
      <c r="F27" s="151">
        <v>0.95542449486006309</v>
      </c>
      <c r="G27" s="151">
        <v>0.28430299617126464</v>
      </c>
      <c r="H27" s="144">
        <v>7.4659316609374887E-2</v>
      </c>
    </row>
    <row r="28" spans="4:8" ht="15" x14ac:dyDescent="0.25">
      <c r="D28" s="149">
        <v>16</v>
      </c>
      <c r="E28" s="43">
        <v>1</v>
      </c>
      <c r="F28" s="42">
        <v>0.95542449486006309</v>
      </c>
      <c r="G28" s="42">
        <v>0.28430299617126464</v>
      </c>
      <c r="H28" s="149">
        <v>7.4659316609374887E-2</v>
      </c>
    </row>
    <row r="29" spans="4:8" ht="15" x14ac:dyDescent="0.25">
      <c r="D29" s="144">
        <v>17</v>
      </c>
      <c r="E29" s="152">
        <v>1</v>
      </c>
      <c r="F29" s="151">
        <v>0.95542449486006309</v>
      </c>
      <c r="G29" s="151">
        <v>0.28430299617126464</v>
      </c>
      <c r="H29" s="144">
        <v>7.4659316609374887E-2</v>
      </c>
    </row>
    <row r="30" spans="4:8" ht="15" x14ac:dyDescent="0.25">
      <c r="D30" s="149">
        <v>18</v>
      </c>
      <c r="E30" s="43">
        <v>1</v>
      </c>
      <c r="F30" s="42">
        <v>0.95542449486006309</v>
      </c>
      <c r="G30" s="42">
        <v>0.28430299617126464</v>
      </c>
      <c r="H30" s="149">
        <v>7.4659316609374887E-2</v>
      </c>
    </row>
    <row r="31" spans="4:8" x14ac:dyDescent="0.3">
      <c r="D31" s="144">
        <v>19</v>
      </c>
      <c r="E31" s="152">
        <v>1</v>
      </c>
      <c r="F31" s="151">
        <v>0.95542449486006309</v>
      </c>
      <c r="G31" s="151">
        <v>0.28430299617126464</v>
      </c>
      <c r="H31" s="144">
        <v>7.4659316609374887E-2</v>
      </c>
    </row>
    <row r="32" spans="4:8" x14ac:dyDescent="0.3">
      <c r="D32" s="149">
        <v>20</v>
      </c>
      <c r="E32" s="43">
        <v>1</v>
      </c>
      <c r="F32" s="42">
        <v>0.95542449486006309</v>
      </c>
      <c r="G32" s="42">
        <v>0.28430299617126464</v>
      </c>
      <c r="H32" s="149">
        <v>7.4659316609374887E-2</v>
      </c>
    </row>
    <row r="33" spans="4:8" x14ac:dyDescent="0.3">
      <c r="D33" s="144">
        <v>21</v>
      </c>
      <c r="E33" s="152">
        <v>1</v>
      </c>
      <c r="F33" s="151">
        <v>0.95542449486006309</v>
      </c>
      <c r="G33" s="151">
        <v>0.28430299617126464</v>
      </c>
      <c r="H33" s="144">
        <v>7.4659316609374887E-2</v>
      </c>
    </row>
    <row r="34" spans="4:8" x14ac:dyDescent="0.3">
      <c r="D34" s="149">
        <v>22</v>
      </c>
      <c r="E34" s="43">
        <v>1</v>
      </c>
      <c r="F34" s="42">
        <v>0.95542449486006309</v>
      </c>
      <c r="G34" s="42">
        <v>0.28430299617126464</v>
      </c>
      <c r="H34" s="149">
        <v>7.4659316609374887E-2</v>
      </c>
    </row>
    <row r="35" spans="4:8" x14ac:dyDescent="0.3">
      <c r="D35" s="144">
        <v>23</v>
      </c>
      <c r="E35" s="152">
        <v>1</v>
      </c>
      <c r="F35" s="151">
        <v>0.95542449486006309</v>
      </c>
      <c r="G35" s="151">
        <v>0.28430299617126464</v>
      </c>
      <c r="H35" s="144">
        <v>7.4659316609374887E-2</v>
      </c>
    </row>
    <row r="36" spans="4:8" x14ac:dyDescent="0.3">
      <c r="D36" s="149">
        <v>24</v>
      </c>
      <c r="E36" s="43">
        <v>1</v>
      </c>
      <c r="F36" s="42">
        <v>0.95542449486006309</v>
      </c>
      <c r="G36" s="42">
        <v>0.28430299617126464</v>
      </c>
      <c r="H36" s="149">
        <v>7.4659316609374887E-2</v>
      </c>
    </row>
    <row r="37" spans="4:8" x14ac:dyDescent="0.3">
      <c r="D37" s="148">
        <v>25</v>
      </c>
      <c r="E37" s="152">
        <v>1</v>
      </c>
      <c r="F37" s="151">
        <v>0.95542449486006309</v>
      </c>
      <c r="G37" s="151">
        <v>0.28430299617126464</v>
      </c>
      <c r="H37" s="144">
        <v>7.4659316609374887E-2</v>
      </c>
    </row>
    <row r="38" spans="4:8" ht="15.6" x14ac:dyDescent="0.3">
      <c r="D38" s="165" t="s">
        <v>41</v>
      </c>
      <c r="E38" s="167" t="s">
        <v>44</v>
      </c>
      <c r="F38" s="168"/>
      <c r="G38" s="168"/>
      <c r="H38" s="169"/>
    </row>
    <row r="39" spans="4:8" x14ac:dyDescent="0.3">
      <c r="D39" s="166"/>
      <c r="E39" s="56" t="s">
        <v>58</v>
      </c>
      <c r="F39" s="57" t="s">
        <v>28</v>
      </c>
      <c r="G39" s="57" t="s">
        <v>29</v>
      </c>
      <c r="H39" s="57" t="s">
        <v>30</v>
      </c>
    </row>
    <row r="40" spans="4:8" x14ac:dyDescent="0.3">
      <c r="D40" s="40">
        <v>1</v>
      </c>
      <c r="E40" s="39">
        <v>2</v>
      </c>
      <c r="F40" s="41">
        <v>0</v>
      </c>
      <c r="G40" s="41">
        <v>0</v>
      </c>
      <c r="H40" s="40">
        <v>0</v>
      </c>
    </row>
    <row r="41" spans="4:8" x14ac:dyDescent="0.3">
      <c r="D41" s="149">
        <v>2</v>
      </c>
      <c r="E41" s="43">
        <v>2</v>
      </c>
      <c r="F41" s="42">
        <v>0</v>
      </c>
      <c r="G41" s="42">
        <v>0</v>
      </c>
      <c r="H41" s="149">
        <v>0</v>
      </c>
    </row>
    <row r="42" spans="4:8" x14ac:dyDescent="0.3">
      <c r="D42" s="144">
        <v>3</v>
      </c>
      <c r="E42" s="152">
        <v>2</v>
      </c>
      <c r="F42" s="151">
        <v>0</v>
      </c>
      <c r="G42" s="151">
        <v>0</v>
      </c>
      <c r="H42" s="144">
        <v>0</v>
      </c>
    </row>
    <row r="43" spans="4:8" x14ac:dyDescent="0.3">
      <c r="D43" s="149">
        <v>4</v>
      </c>
      <c r="E43" s="43">
        <v>2</v>
      </c>
      <c r="F43" s="42">
        <v>0</v>
      </c>
      <c r="G43" s="42">
        <v>0</v>
      </c>
      <c r="H43" s="149">
        <v>0</v>
      </c>
    </row>
    <row r="44" spans="4:8" x14ac:dyDescent="0.3">
      <c r="D44" s="144">
        <v>5</v>
      </c>
      <c r="E44" s="152">
        <v>2</v>
      </c>
      <c r="F44" s="151">
        <v>0</v>
      </c>
      <c r="G44" s="151">
        <v>0</v>
      </c>
      <c r="H44" s="144">
        <v>0</v>
      </c>
    </row>
    <row r="45" spans="4:8" x14ac:dyDescent="0.3">
      <c r="D45" s="149">
        <v>6</v>
      </c>
      <c r="E45" s="43">
        <v>2</v>
      </c>
      <c r="F45" s="42">
        <v>0</v>
      </c>
      <c r="G45" s="42">
        <v>0</v>
      </c>
      <c r="H45" s="149">
        <v>0</v>
      </c>
    </row>
    <row r="46" spans="4:8" x14ac:dyDescent="0.3">
      <c r="D46" s="144">
        <v>7</v>
      </c>
      <c r="E46" s="152">
        <v>2</v>
      </c>
      <c r="F46" s="151">
        <v>0</v>
      </c>
      <c r="G46" s="151">
        <v>0</v>
      </c>
      <c r="H46" s="144">
        <v>0</v>
      </c>
    </row>
    <row r="47" spans="4:8" x14ac:dyDescent="0.3">
      <c r="D47" s="149">
        <v>8</v>
      </c>
      <c r="E47" s="43">
        <v>2</v>
      </c>
      <c r="F47" s="42">
        <v>0</v>
      </c>
      <c r="G47" s="42">
        <v>0</v>
      </c>
      <c r="H47" s="149">
        <v>0</v>
      </c>
    </row>
    <row r="48" spans="4:8" x14ac:dyDescent="0.3">
      <c r="D48" s="144">
        <v>9</v>
      </c>
      <c r="E48" s="152">
        <v>2</v>
      </c>
      <c r="F48" s="151">
        <v>0</v>
      </c>
      <c r="G48" s="151">
        <v>0</v>
      </c>
      <c r="H48" s="144">
        <v>0</v>
      </c>
    </row>
    <row r="49" spans="4:8" x14ac:dyDescent="0.3">
      <c r="D49" s="149">
        <v>10</v>
      </c>
      <c r="E49" s="43">
        <v>2</v>
      </c>
      <c r="F49" s="42">
        <v>0</v>
      </c>
      <c r="G49" s="42">
        <v>0</v>
      </c>
      <c r="H49" s="149">
        <v>0</v>
      </c>
    </row>
    <row r="50" spans="4:8" x14ac:dyDescent="0.3">
      <c r="D50" s="144">
        <v>11</v>
      </c>
      <c r="E50" s="152">
        <v>2</v>
      </c>
      <c r="F50" s="151">
        <v>0</v>
      </c>
      <c r="G50" s="151">
        <v>0</v>
      </c>
      <c r="H50" s="144">
        <v>0</v>
      </c>
    </row>
    <row r="51" spans="4:8" x14ac:dyDescent="0.3">
      <c r="D51" s="149">
        <v>12</v>
      </c>
      <c r="E51" s="43">
        <v>2</v>
      </c>
      <c r="F51" s="42">
        <v>0</v>
      </c>
      <c r="G51" s="42">
        <v>0</v>
      </c>
      <c r="H51" s="149">
        <v>0</v>
      </c>
    </row>
    <row r="52" spans="4:8" x14ac:dyDescent="0.3">
      <c r="D52" s="144">
        <v>13</v>
      </c>
      <c r="E52" s="152">
        <v>2</v>
      </c>
      <c r="F52" s="151">
        <v>0</v>
      </c>
      <c r="G52" s="151">
        <v>0</v>
      </c>
      <c r="H52" s="144">
        <v>0</v>
      </c>
    </row>
    <row r="53" spans="4:8" x14ac:dyDescent="0.3">
      <c r="D53" s="149">
        <v>14</v>
      </c>
      <c r="E53" s="43">
        <v>2</v>
      </c>
      <c r="F53" s="42">
        <v>0</v>
      </c>
      <c r="G53" s="42">
        <v>0</v>
      </c>
      <c r="H53" s="149">
        <v>0</v>
      </c>
    </row>
    <row r="54" spans="4:8" x14ac:dyDescent="0.3">
      <c r="D54" s="144">
        <v>15</v>
      </c>
      <c r="E54" s="152">
        <v>2</v>
      </c>
      <c r="F54" s="151">
        <v>0</v>
      </c>
      <c r="G54" s="151">
        <v>0</v>
      </c>
      <c r="H54" s="144">
        <v>0</v>
      </c>
    </row>
    <row r="55" spans="4:8" x14ac:dyDescent="0.3">
      <c r="D55" s="149">
        <v>16</v>
      </c>
      <c r="E55" s="43">
        <v>2</v>
      </c>
      <c r="F55" s="42">
        <v>0</v>
      </c>
      <c r="G55" s="42">
        <v>0</v>
      </c>
      <c r="H55" s="149">
        <v>0</v>
      </c>
    </row>
    <row r="56" spans="4:8" x14ac:dyDescent="0.3">
      <c r="D56" s="144">
        <v>17</v>
      </c>
      <c r="E56" s="152">
        <v>2</v>
      </c>
      <c r="F56" s="151">
        <v>0</v>
      </c>
      <c r="G56" s="151">
        <v>0</v>
      </c>
      <c r="H56" s="144">
        <v>0</v>
      </c>
    </row>
    <row r="57" spans="4:8" x14ac:dyDescent="0.3">
      <c r="D57" s="149">
        <v>18</v>
      </c>
      <c r="E57" s="43">
        <v>2</v>
      </c>
      <c r="F57" s="42">
        <v>0</v>
      </c>
      <c r="G57" s="42">
        <v>0</v>
      </c>
      <c r="H57" s="149">
        <v>0</v>
      </c>
    </row>
    <row r="58" spans="4:8" x14ac:dyDescent="0.3">
      <c r="D58" s="144">
        <v>19</v>
      </c>
      <c r="E58" s="152">
        <v>2</v>
      </c>
      <c r="F58" s="151">
        <v>0</v>
      </c>
      <c r="G58" s="151">
        <v>0</v>
      </c>
      <c r="H58" s="144">
        <v>0</v>
      </c>
    </row>
    <row r="59" spans="4:8" x14ac:dyDescent="0.3">
      <c r="D59" s="149">
        <v>20</v>
      </c>
      <c r="E59" s="43">
        <v>2</v>
      </c>
      <c r="F59" s="42">
        <v>0</v>
      </c>
      <c r="G59" s="42">
        <v>0</v>
      </c>
      <c r="H59" s="149">
        <v>0</v>
      </c>
    </row>
    <row r="60" spans="4:8" x14ac:dyDescent="0.3">
      <c r="D60" s="144">
        <v>21</v>
      </c>
      <c r="E60" s="152">
        <v>2</v>
      </c>
      <c r="F60" s="151">
        <v>0</v>
      </c>
      <c r="G60" s="151">
        <v>0</v>
      </c>
      <c r="H60" s="144">
        <v>0</v>
      </c>
    </row>
    <row r="61" spans="4:8" x14ac:dyDescent="0.3">
      <c r="D61" s="149">
        <v>22</v>
      </c>
      <c r="E61" s="43">
        <v>2</v>
      </c>
      <c r="F61" s="42">
        <v>0</v>
      </c>
      <c r="G61" s="42">
        <v>0</v>
      </c>
      <c r="H61" s="149">
        <v>0</v>
      </c>
    </row>
    <row r="62" spans="4:8" x14ac:dyDescent="0.3">
      <c r="D62" s="144">
        <v>23</v>
      </c>
      <c r="E62" s="152">
        <v>2</v>
      </c>
      <c r="F62" s="151">
        <v>0</v>
      </c>
      <c r="G62" s="151">
        <v>0</v>
      </c>
      <c r="H62" s="144">
        <v>0</v>
      </c>
    </row>
    <row r="63" spans="4:8" x14ac:dyDescent="0.3">
      <c r="D63" s="149">
        <v>24</v>
      </c>
      <c r="E63" s="43">
        <v>2</v>
      </c>
      <c r="F63" s="42">
        <v>0</v>
      </c>
      <c r="G63" s="42">
        <v>0</v>
      </c>
      <c r="H63" s="149">
        <v>0</v>
      </c>
    </row>
    <row r="64" spans="4:8" x14ac:dyDescent="0.3">
      <c r="D64" s="148">
        <v>25</v>
      </c>
      <c r="E64" s="152">
        <v>2</v>
      </c>
      <c r="F64" s="151">
        <v>0</v>
      </c>
      <c r="G64" s="151">
        <v>0</v>
      </c>
      <c r="H64" s="144">
        <v>0</v>
      </c>
    </row>
    <row r="65" spans="4:8" ht="15.6" x14ac:dyDescent="0.3">
      <c r="D65" s="165" t="s">
        <v>41</v>
      </c>
      <c r="E65" s="167" t="s">
        <v>45</v>
      </c>
      <c r="F65" s="168"/>
      <c r="G65" s="168"/>
      <c r="H65" s="169"/>
    </row>
    <row r="66" spans="4:8" x14ac:dyDescent="0.3">
      <c r="D66" s="166"/>
      <c r="E66" s="56" t="s">
        <v>58</v>
      </c>
      <c r="F66" s="57" t="s">
        <v>28</v>
      </c>
      <c r="G66" s="57" t="s">
        <v>29</v>
      </c>
      <c r="H66" s="57" t="s">
        <v>30</v>
      </c>
    </row>
    <row r="67" spans="4:8" x14ac:dyDescent="0.3">
      <c r="D67" s="40">
        <v>1</v>
      </c>
      <c r="E67" s="39">
        <v>3</v>
      </c>
      <c r="F67" s="41">
        <v>0</v>
      </c>
      <c r="G67" s="41">
        <v>0</v>
      </c>
      <c r="H67" s="40">
        <v>0</v>
      </c>
    </row>
    <row r="68" spans="4:8" x14ac:dyDescent="0.3">
      <c r="D68" s="149">
        <v>2</v>
      </c>
      <c r="E68" s="43">
        <v>3</v>
      </c>
      <c r="F68" s="42">
        <v>0</v>
      </c>
      <c r="G68" s="42">
        <v>0</v>
      </c>
      <c r="H68" s="149">
        <v>0</v>
      </c>
    </row>
    <row r="69" spans="4:8" x14ac:dyDescent="0.3">
      <c r="D69" s="144">
        <v>3</v>
      </c>
      <c r="E69" s="152">
        <v>3</v>
      </c>
      <c r="F69" s="151">
        <v>0</v>
      </c>
      <c r="G69" s="151">
        <v>0</v>
      </c>
      <c r="H69" s="144">
        <v>0</v>
      </c>
    </row>
    <row r="70" spans="4:8" x14ac:dyDescent="0.3">
      <c r="D70" s="149">
        <v>4</v>
      </c>
      <c r="E70" s="43">
        <v>3</v>
      </c>
      <c r="F70" s="42">
        <v>0</v>
      </c>
      <c r="G70" s="42">
        <v>0</v>
      </c>
      <c r="H70" s="149">
        <v>0</v>
      </c>
    </row>
    <row r="71" spans="4:8" x14ac:dyDescent="0.3">
      <c r="D71" s="144">
        <v>5</v>
      </c>
      <c r="E71" s="152">
        <v>3</v>
      </c>
      <c r="F71" s="151">
        <v>0</v>
      </c>
      <c r="G71" s="151">
        <v>0</v>
      </c>
      <c r="H71" s="144">
        <v>0</v>
      </c>
    </row>
    <row r="72" spans="4:8" x14ac:dyDescent="0.3">
      <c r="D72" s="149">
        <v>6</v>
      </c>
      <c r="E72" s="43">
        <v>3</v>
      </c>
      <c r="F72" s="42">
        <v>0</v>
      </c>
      <c r="G72" s="42">
        <v>0</v>
      </c>
      <c r="H72" s="149">
        <v>0</v>
      </c>
    </row>
    <row r="73" spans="4:8" x14ac:dyDescent="0.3">
      <c r="D73" s="144">
        <v>7</v>
      </c>
      <c r="E73" s="152">
        <v>3</v>
      </c>
      <c r="F73" s="151">
        <v>0</v>
      </c>
      <c r="G73" s="151">
        <v>0</v>
      </c>
      <c r="H73" s="144">
        <v>0</v>
      </c>
    </row>
    <row r="74" spans="4:8" x14ac:dyDescent="0.3">
      <c r="D74" s="149">
        <v>8</v>
      </c>
      <c r="E74" s="43">
        <v>3</v>
      </c>
      <c r="F74" s="42">
        <v>0</v>
      </c>
      <c r="G74" s="42">
        <v>0</v>
      </c>
      <c r="H74" s="149">
        <v>0</v>
      </c>
    </row>
    <row r="75" spans="4:8" x14ac:dyDescent="0.3">
      <c r="D75" s="144">
        <v>9</v>
      </c>
      <c r="E75" s="152">
        <v>3</v>
      </c>
      <c r="F75" s="151">
        <v>0</v>
      </c>
      <c r="G75" s="151">
        <v>0</v>
      </c>
      <c r="H75" s="144">
        <v>0</v>
      </c>
    </row>
    <row r="76" spans="4:8" x14ac:dyDescent="0.3">
      <c r="D76" s="149">
        <v>10</v>
      </c>
      <c r="E76" s="43">
        <v>3</v>
      </c>
      <c r="F76" s="42">
        <v>0</v>
      </c>
      <c r="G76" s="42">
        <v>0</v>
      </c>
      <c r="H76" s="149">
        <v>0</v>
      </c>
    </row>
    <row r="77" spans="4:8" x14ac:dyDescent="0.3">
      <c r="D77" s="144">
        <v>11</v>
      </c>
      <c r="E77" s="152">
        <v>3</v>
      </c>
      <c r="F77" s="151">
        <v>0</v>
      </c>
      <c r="G77" s="151">
        <v>0</v>
      </c>
      <c r="H77" s="144">
        <v>0</v>
      </c>
    </row>
    <row r="78" spans="4:8" x14ac:dyDescent="0.3">
      <c r="D78" s="149">
        <v>12</v>
      </c>
      <c r="E78" s="43">
        <v>3</v>
      </c>
      <c r="F78" s="42">
        <v>0</v>
      </c>
      <c r="G78" s="42">
        <v>0</v>
      </c>
      <c r="H78" s="149">
        <v>0</v>
      </c>
    </row>
    <row r="79" spans="4:8" x14ac:dyDescent="0.3">
      <c r="D79" s="144">
        <v>13</v>
      </c>
      <c r="E79" s="152">
        <v>3</v>
      </c>
      <c r="F79" s="151">
        <v>0</v>
      </c>
      <c r="G79" s="151">
        <v>0</v>
      </c>
      <c r="H79" s="144">
        <v>0</v>
      </c>
    </row>
    <row r="80" spans="4:8" x14ac:dyDescent="0.3">
      <c r="D80" s="149">
        <v>14</v>
      </c>
      <c r="E80" s="43">
        <v>3</v>
      </c>
      <c r="F80" s="42">
        <v>0</v>
      </c>
      <c r="G80" s="42">
        <v>0</v>
      </c>
      <c r="H80" s="149">
        <v>0</v>
      </c>
    </row>
    <row r="81" spans="4:8" x14ac:dyDescent="0.3">
      <c r="D81" s="144">
        <v>15</v>
      </c>
      <c r="E81" s="152">
        <v>3</v>
      </c>
      <c r="F81" s="151">
        <v>0</v>
      </c>
      <c r="G81" s="151">
        <v>0</v>
      </c>
      <c r="H81" s="144">
        <v>0</v>
      </c>
    </row>
    <row r="82" spans="4:8" x14ac:dyDescent="0.3">
      <c r="D82" s="149">
        <v>16</v>
      </c>
      <c r="E82" s="43">
        <v>3</v>
      </c>
      <c r="F82" s="42">
        <v>0</v>
      </c>
      <c r="G82" s="42">
        <v>0</v>
      </c>
      <c r="H82" s="149">
        <v>0</v>
      </c>
    </row>
    <row r="83" spans="4:8" x14ac:dyDescent="0.3">
      <c r="D83" s="144">
        <v>17</v>
      </c>
      <c r="E83" s="152">
        <v>3</v>
      </c>
      <c r="F83" s="151">
        <v>0</v>
      </c>
      <c r="G83" s="151">
        <v>0</v>
      </c>
      <c r="H83" s="144">
        <v>0</v>
      </c>
    </row>
    <row r="84" spans="4:8" x14ac:dyDescent="0.3">
      <c r="D84" s="149">
        <v>18</v>
      </c>
      <c r="E84" s="43">
        <v>3</v>
      </c>
      <c r="F84" s="42">
        <v>0</v>
      </c>
      <c r="G84" s="42">
        <v>0</v>
      </c>
      <c r="H84" s="149">
        <v>0</v>
      </c>
    </row>
    <row r="85" spans="4:8" x14ac:dyDescent="0.3">
      <c r="D85" s="144">
        <v>19</v>
      </c>
      <c r="E85" s="152">
        <v>3</v>
      </c>
      <c r="F85" s="151">
        <v>0</v>
      </c>
      <c r="G85" s="151">
        <v>0</v>
      </c>
      <c r="H85" s="144">
        <v>0</v>
      </c>
    </row>
    <row r="86" spans="4:8" x14ac:dyDescent="0.3">
      <c r="D86" s="149">
        <v>20</v>
      </c>
      <c r="E86" s="43">
        <v>3</v>
      </c>
      <c r="F86" s="42">
        <v>0</v>
      </c>
      <c r="G86" s="42">
        <v>0</v>
      </c>
      <c r="H86" s="149">
        <v>0</v>
      </c>
    </row>
    <row r="87" spans="4:8" x14ac:dyDescent="0.3">
      <c r="D87" s="144">
        <v>21</v>
      </c>
      <c r="E87" s="152">
        <v>3</v>
      </c>
      <c r="F87" s="151">
        <v>0</v>
      </c>
      <c r="G87" s="151">
        <v>0</v>
      </c>
      <c r="H87" s="144">
        <v>0</v>
      </c>
    </row>
    <row r="88" spans="4:8" x14ac:dyDescent="0.3">
      <c r="D88" s="149">
        <v>22</v>
      </c>
      <c r="E88" s="43">
        <v>3</v>
      </c>
      <c r="F88" s="42">
        <v>0</v>
      </c>
      <c r="G88" s="42">
        <v>0</v>
      </c>
      <c r="H88" s="149">
        <v>0</v>
      </c>
    </row>
    <row r="89" spans="4:8" x14ac:dyDescent="0.3">
      <c r="D89" s="144">
        <v>23</v>
      </c>
      <c r="E89" s="152">
        <v>3</v>
      </c>
      <c r="F89" s="151">
        <v>0</v>
      </c>
      <c r="G89" s="151">
        <v>0</v>
      </c>
      <c r="H89" s="144">
        <v>0</v>
      </c>
    </row>
    <row r="90" spans="4:8" x14ac:dyDescent="0.3">
      <c r="D90" s="149">
        <v>24</v>
      </c>
      <c r="E90" s="43">
        <v>3</v>
      </c>
      <c r="F90" s="42">
        <v>0</v>
      </c>
      <c r="G90" s="42">
        <v>0</v>
      </c>
      <c r="H90" s="149">
        <v>0</v>
      </c>
    </row>
    <row r="91" spans="4:8" x14ac:dyDescent="0.3">
      <c r="D91" s="148">
        <v>25</v>
      </c>
      <c r="E91" s="152">
        <v>3</v>
      </c>
      <c r="F91" s="151">
        <v>0</v>
      </c>
      <c r="G91" s="151">
        <v>0</v>
      </c>
      <c r="H91" s="144">
        <v>0</v>
      </c>
    </row>
    <row r="92" spans="4:8" ht="15.6" x14ac:dyDescent="0.3">
      <c r="D92" s="165" t="s">
        <v>41</v>
      </c>
      <c r="E92" s="167" t="s">
        <v>46</v>
      </c>
      <c r="F92" s="168"/>
      <c r="G92" s="168"/>
      <c r="H92" s="169"/>
    </row>
    <row r="93" spans="4:8" x14ac:dyDescent="0.3">
      <c r="D93" s="166"/>
      <c r="E93" s="56" t="s">
        <v>58</v>
      </c>
      <c r="F93" s="57" t="s">
        <v>28</v>
      </c>
      <c r="G93" s="57" t="s">
        <v>29</v>
      </c>
      <c r="H93" s="57" t="s">
        <v>30</v>
      </c>
    </row>
    <row r="94" spans="4:8" x14ac:dyDescent="0.3">
      <c r="D94" s="40">
        <v>1</v>
      </c>
      <c r="E94" s="39">
        <v>4</v>
      </c>
      <c r="F94" s="41">
        <v>0</v>
      </c>
      <c r="G94" s="41">
        <v>0</v>
      </c>
      <c r="H94" s="40">
        <v>0</v>
      </c>
    </row>
    <row r="95" spans="4:8" x14ac:dyDescent="0.3">
      <c r="D95" s="149">
        <v>2</v>
      </c>
      <c r="E95" s="43">
        <v>4</v>
      </c>
      <c r="F95" s="42">
        <v>0</v>
      </c>
      <c r="G95" s="42">
        <v>0</v>
      </c>
      <c r="H95" s="149">
        <v>0</v>
      </c>
    </row>
    <row r="96" spans="4:8" x14ac:dyDescent="0.3">
      <c r="D96" s="144">
        <v>3</v>
      </c>
      <c r="E96" s="152">
        <v>4</v>
      </c>
      <c r="F96" s="151">
        <v>0</v>
      </c>
      <c r="G96" s="151">
        <v>0</v>
      </c>
      <c r="H96" s="144">
        <v>0</v>
      </c>
    </row>
    <row r="97" spans="4:8" x14ac:dyDescent="0.3">
      <c r="D97" s="149">
        <v>4</v>
      </c>
      <c r="E97" s="43">
        <v>4</v>
      </c>
      <c r="F97" s="42">
        <v>0</v>
      </c>
      <c r="G97" s="42">
        <v>0</v>
      </c>
      <c r="H97" s="149">
        <v>0</v>
      </c>
    </row>
    <row r="98" spans="4:8" x14ac:dyDescent="0.3">
      <c r="D98" s="144">
        <v>5</v>
      </c>
      <c r="E98" s="152">
        <v>4</v>
      </c>
      <c r="F98" s="151">
        <v>0</v>
      </c>
      <c r="G98" s="151">
        <v>0</v>
      </c>
      <c r="H98" s="144">
        <v>0</v>
      </c>
    </row>
    <row r="99" spans="4:8" x14ac:dyDescent="0.3">
      <c r="D99" s="149">
        <v>6</v>
      </c>
      <c r="E99" s="43">
        <v>4</v>
      </c>
      <c r="F99" s="42">
        <v>0</v>
      </c>
      <c r="G99" s="42">
        <v>0</v>
      </c>
      <c r="H99" s="149">
        <v>0</v>
      </c>
    </row>
    <row r="100" spans="4:8" x14ac:dyDescent="0.3">
      <c r="D100" s="144">
        <v>7</v>
      </c>
      <c r="E100" s="152">
        <v>4</v>
      </c>
      <c r="F100" s="151">
        <v>0</v>
      </c>
      <c r="G100" s="151">
        <v>0</v>
      </c>
      <c r="H100" s="144">
        <v>0</v>
      </c>
    </row>
    <row r="101" spans="4:8" x14ac:dyDescent="0.3">
      <c r="D101" s="149">
        <v>8</v>
      </c>
      <c r="E101" s="43">
        <v>4</v>
      </c>
      <c r="F101" s="42">
        <v>0</v>
      </c>
      <c r="G101" s="42">
        <v>0</v>
      </c>
      <c r="H101" s="149">
        <v>0</v>
      </c>
    </row>
    <row r="102" spans="4:8" x14ac:dyDescent="0.3">
      <c r="D102" s="144">
        <v>9</v>
      </c>
      <c r="E102" s="152">
        <v>4</v>
      </c>
      <c r="F102" s="151">
        <v>0</v>
      </c>
      <c r="G102" s="151">
        <v>0</v>
      </c>
      <c r="H102" s="144">
        <v>0</v>
      </c>
    </row>
    <row r="103" spans="4:8" x14ac:dyDescent="0.3">
      <c r="D103" s="149">
        <v>10</v>
      </c>
      <c r="E103" s="43">
        <v>4</v>
      </c>
      <c r="F103" s="42">
        <v>0</v>
      </c>
      <c r="G103" s="42">
        <v>0</v>
      </c>
      <c r="H103" s="149">
        <v>0</v>
      </c>
    </row>
    <row r="104" spans="4:8" x14ac:dyDescent="0.3">
      <c r="D104" s="144">
        <v>11</v>
      </c>
      <c r="E104" s="152">
        <v>4</v>
      </c>
      <c r="F104" s="151">
        <v>0</v>
      </c>
      <c r="G104" s="151">
        <v>0</v>
      </c>
      <c r="H104" s="144">
        <v>0</v>
      </c>
    </row>
    <row r="105" spans="4:8" x14ac:dyDescent="0.3">
      <c r="D105" s="149">
        <v>12</v>
      </c>
      <c r="E105" s="43">
        <v>4</v>
      </c>
      <c r="F105" s="42">
        <v>0</v>
      </c>
      <c r="G105" s="42">
        <v>0</v>
      </c>
      <c r="H105" s="149">
        <v>0</v>
      </c>
    </row>
    <row r="106" spans="4:8" x14ac:dyDescent="0.3">
      <c r="D106" s="144">
        <v>13</v>
      </c>
      <c r="E106" s="152">
        <v>4</v>
      </c>
      <c r="F106" s="151">
        <v>0</v>
      </c>
      <c r="G106" s="151">
        <v>0</v>
      </c>
      <c r="H106" s="144">
        <v>0</v>
      </c>
    </row>
    <row r="107" spans="4:8" x14ac:dyDescent="0.3">
      <c r="D107" s="149">
        <v>14</v>
      </c>
      <c r="E107" s="43">
        <v>4</v>
      </c>
      <c r="F107" s="42">
        <v>0</v>
      </c>
      <c r="G107" s="42">
        <v>0</v>
      </c>
      <c r="H107" s="149">
        <v>0</v>
      </c>
    </row>
    <row r="108" spans="4:8" x14ac:dyDescent="0.3">
      <c r="D108" s="144">
        <v>15</v>
      </c>
      <c r="E108" s="152">
        <v>4</v>
      </c>
      <c r="F108" s="151">
        <v>0</v>
      </c>
      <c r="G108" s="151">
        <v>0</v>
      </c>
      <c r="H108" s="144">
        <v>0</v>
      </c>
    </row>
    <row r="109" spans="4:8" x14ac:dyDescent="0.3">
      <c r="D109" s="149">
        <v>16</v>
      </c>
      <c r="E109" s="43">
        <v>4</v>
      </c>
      <c r="F109" s="42">
        <v>0</v>
      </c>
      <c r="G109" s="42">
        <v>0</v>
      </c>
      <c r="H109" s="149">
        <v>0</v>
      </c>
    </row>
    <row r="110" spans="4:8" x14ac:dyDescent="0.3">
      <c r="D110" s="144">
        <v>17</v>
      </c>
      <c r="E110" s="152">
        <v>4</v>
      </c>
      <c r="F110" s="151">
        <v>0</v>
      </c>
      <c r="G110" s="151">
        <v>0</v>
      </c>
      <c r="H110" s="144">
        <v>0</v>
      </c>
    </row>
    <row r="111" spans="4:8" x14ac:dyDescent="0.3">
      <c r="D111" s="149">
        <v>18</v>
      </c>
      <c r="E111" s="43">
        <v>4</v>
      </c>
      <c r="F111" s="42">
        <v>0</v>
      </c>
      <c r="G111" s="42">
        <v>0</v>
      </c>
      <c r="H111" s="149">
        <v>0</v>
      </c>
    </row>
    <row r="112" spans="4:8" x14ac:dyDescent="0.3">
      <c r="D112" s="144">
        <v>19</v>
      </c>
      <c r="E112" s="152">
        <v>4</v>
      </c>
      <c r="F112" s="151">
        <v>0</v>
      </c>
      <c r="G112" s="151">
        <v>0</v>
      </c>
      <c r="H112" s="144">
        <v>0</v>
      </c>
    </row>
    <row r="113" spans="4:8" x14ac:dyDescent="0.3">
      <c r="D113" s="149">
        <v>20</v>
      </c>
      <c r="E113" s="43">
        <v>4</v>
      </c>
      <c r="F113" s="42">
        <v>0</v>
      </c>
      <c r="G113" s="42">
        <v>0</v>
      </c>
      <c r="H113" s="149">
        <v>0</v>
      </c>
    </row>
    <row r="114" spans="4:8" x14ac:dyDescent="0.3">
      <c r="D114" s="144">
        <v>21</v>
      </c>
      <c r="E114" s="152">
        <v>4</v>
      </c>
      <c r="F114" s="151">
        <v>0</v>
      </c>
      <c r="G114" s="151">
        <v>0</v>
      </c>
      <c r="H114" s="144">
        <v>0</v>
      </c>
    </row>
    <row r="115" spans="4:8" x14ac:dyDescent="0.3">
      <c r="D115" s="149">
        <v>22</v>
      </c>
      <c r="E115" s="43">
        <v>4</v>
      </c>
      <c r="F115" s="42">
        <v>0</v>
      </c>
      <c r="G115" s="42">
        <v>0</v>
      </c>
      <c r="H115" s="149">
        <v>0</v>
      </c>
    </row>
    <row r="116" spans="4:8" x14ac:dyDescent="0.3">
      <c r="D116" s="144">
        <v>23</v>
      </c>
      <c r="E116" s="152">
        <v>4</v>
      </c>
      <c r="F116" s="151">
        <v>0</v>
      </c>
      <c r="G116" s="151">
        <v>0</v>
      </c>
      <c r="H116" s="144">
        <v>0</v>
      </c>
    </row>
    <row r="117" spans="4:8" x14ac:dyDescent="0.3">
      <c r="D117" s="149">
        <v>24</v>
      </c>
      <c r="E117" s="43">
        <v>4</v>
      </c>
      <c r="F117" s="42">
        <v>0</v>
      </c>
      <c r="G117" s="42">
        <v>0</v>
      </c>
      <c r="H117" s="149">
        <v>0</v>
      </c>
    </row>
    <row r="118" spans="4:8" x14ac:dyDescent="0.3">
      <c r="D118" s="148">
        <v>25</v>
      </c>
      <c r="E118" s="146">
        <v>4</v>
      </c>
      <c r="F118" s="145">
        <v>0</v>
      </c>
      <c r="G118" s="145">
        <v>0</v>
      </c>
      <c r="H118" s="148">
        <v>0</v>
      </c>
    </row>
  </sheetData>
  <mergeCells count="9">
    <mergeCell ref="E10:H10"/>
    <mergeCell ref="D11:D12"/>
    <mergeCell ref="E11:H11"/>
    <mergeCell ref="D65:D66"/>
    <mergeCell ref="D38:D39"/>
    <mergeCell ref="E38:H38"/>
    <mergeCell ref="E65:H65"/>
    <mergeCell ref="D92:D93"/>
    <mergeCell ref="E92:H92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HerbicideParameters_Button2_Click">
                <anchor moveWithCells="1">
                  <from>
                    <xdr:col>6</xdr:col>
                    <xdr:colOff>76200</xdr:colOff>
                    <xdr:row>5</xdr:row>
                    <xdr:rowOff>121920</xdr:rowOff>
                  </from>
                  <to>
                    <xdr:col>7</xdr:col>
                    <xdr:colOff>876300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HerbicideParameters_Button1_Click">
                <anchor>
                  <from>
                    <xdr:col>3</xdr:col>
                    <xdr:colOff>160020</xdr:colOff>
                    <xdr:row>1</xdr:row>
                    <xdr:rowOff>144780</xdr:rowOff>
                  </from>
                  <to>
                    <xdr:col>5</xdr:col>
                    <xdr:colOff>784860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HerbicideParameters_Button3_Click">
                <anchor>
                  <from>
                    <xdr:col>6</xdr:col>
                    <xdr:colOff>243840</xdr:colOff>
                    <xdr:row>1</xdr:row>
                    <xdr:rowOff>144780</xdr:rowOff>
                  </from>
                  <to>
                    <xdr:col>8</xdr:col>
                    <xdr:colOff>7620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HerbicideParameters_Button4_Click">
                <anchor moveWithCells="1">
                  <from>
                    <xdr:col>3</xdr:col>
                    <xdr:colOff>160020</xdr:colOff>
                    <xdr:row>5</xdr:row>
                    <xdr:rowOff>121920</xdr:rowOff>
                  </from>
                  <to>
                    <xdr:col>5</xdr:col>
                    <xdr:colOff>762000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Params"/>
  <dimension ref="D1:P33"/>
  <sheetViews>
    <sheetView workbookViewId="0">
      <selection activeCell="E11" sqref="E11"/>
    </sheetView>
  </sheetViews>
  <sheetFormatPr defaultColWidth="9.109375" defaultRowHeight="14.4" x14ac:dyDescent="0.3"/>
  <cols>
    <col min="1" max="3" width="9.109375" style="2"/>
    <col min="4" max="4" width="19.5546875" style="8" customWidth="1"/>
    <col min="5" max="5" width="16.109375" style="2" customWidth="1"/>
    <col min="6" max="6" width="12.109375" style="2" customWidth="1"/>
    <col min="7" max="7" width="26" style="8" bestFit="1" customWidth="1"/>
    <col min="8" max="9" width="16" style="8" bestFit="1" customWidth="1"/>
    <col min="10" max="10" width="19.88671875" style="2" customWidth="1"/>
    <col min="11" max="11" width="23.88671875" style="2" customWidth="1"/>
    <col min="12" max="12" width="9.6640625" style="2" customWidth="1"/>
    <col min="13" max="13" width="9" style="2" customWidth="1"/>
    <col min="14" max="16384" width="9.109375" style="2"/>
  </cols>
  <sheetData>
    <row r="1" spans="4:16" x14ac:dyDescent="0.35">
      <c r="G1" s="2"/>
      <c r="H1" s="2"/>
      <c r="I1" s="2"/>
      <c r="J1" s="7"/>
    </row>
    <row r="2" spans="4:16" ht="21" customHeight="1" x14ac:dyDescent="0.35">
      <c r="D2" s="17"/>
      <c r="E2" s="3"/>
      <c r="F2" s="3"/>
      <c r="G2" s="3"/>
      <c r="H2" s="3"/>
      <c r="I2" s="3"/>
    </row>
    <row r="3" spans="4:16" ht="21" customHeight="1" x14ac:dyDescent="0.35">
      <c r="D3" s="17"/>
      <c r="E3" s="3"/>
      <c r="F3" s="3"/>
      <c r="G3" s="3"/>
      <c r="H3" s="3"/>
      <c r="I3" s="3"/>
    </row>
    <row r="5" spans="4:16" x14ac:dyDescent="0.35">
      <c r="F5" s="27"/>
      <c r="G5" s="70"/>
    </row>
    <row r="6" spans="4:16" x14ac:dyDescent="0.35">
      <c r="F6" s="27"/>
      <c r="G6" s="70"/>
    </row>
    <row r="7" spans="4:16" x14ac:dyDescent="0.35">
      <c r="F7" s="27"/>
      <c r="G7" s="70"/>
    </row>
    <row r="9" spans="4:16" ht="21" customHeight="1" thickBot="1" x14ac:dyDescent="0.3">
      <c r="F9" s="9"/>
      <c r="G9" s="184" t="s">
        <v>4</v>
      </c>
      <c r="H9" s="184"/>
      <c r="I9" s="184"/>
    </row>
    <row r="10" spans="4:16" ht="21" customHeight="1" thickTop="1" thickBot="1" x14ac:dyDescent="0.3">
      <c r="D10" s="188" t="s">
        <v>0</v>
      </c>
      <c r="E10" s="188"/>
      <c r="F10" s="9"/>
      <c r="H10" s="93" t="s">
        <v>34</v>
      </c>
      <c r="I10" s="92" t="s">
        <v>35</v>
      </c>
    </row>
    <row r="11" spans="4:16" ht="27" customHeight="1" thickTop="1" x14ac:dyDescent="0.25">
      <c r="D11" s="18" t="s">
        <v>32</v>
      </c>
      <c r="E11" s="10">
        <v>100</v>
      </c>
      <c r="F11" s="9"/>
      <c r="G11" s="90" t="s">
        <v>33</v>
      </c>
      <c r="H11" s="91">
        <v>100</v>
      </c>
      <c r="I11" s="91">
        <v>100</v>
      </c>
    </row>
    <row r="12" spans="4:16" ht="21" customHeight="1" x14ac:dyDescent="0.3">
      <c r="D12" s="139" t="s">
        <v>1</v>
      </c>
      <c r="E12" s="140">
        <v>10</v>
      </c>
      <c r="F12" s="9"/>
      <c r="G12" s="90" t="s">
        <v>80</v>
      </c>
      <c r="H12" s="86">
        <v>1E-8</v>
      </c>
      <c r="I12" s="87">
        <v>1E-8</v>
      </c>
    </row>
    <row r="13" spans="4:16" ht="21" customHeight="1" x14ac:dyDescent="0.3">
      <c r="D13" s="139" t="s">
        <v>37</v>
      </c>
      <c r="E13" s="140">
        <v>2</v>
      </c>
      <c r="F13" s="9"/>
      <c r="G13" s="90" t="s">
        <v>81</v>
      </c>
      <c r="H13" s="88">
        <v>0</v>
      </c>
      <c r="I13" s="89">
        <v>0</v>
      </c>
      <c r="N13" s="5"/>
      <c r="O13" s="5"/>
      <c r="P13" s="5"/>
    </row>
    <row r="14" spans="4:16" ht="21" customHeight="1" x14ac:dyDescent="0.25">
      <c r="D14" s="139" t="s">
        <v>2</v>
      </c>
      <c r="E14" s="140">
        <v>4</v>
      </c>
      <c r="F14" s="9"/>
      <c r="G14" s="90" t="s">
        <v>82</v>
      </c>
      <c r="H14" s="86">
        <v>0</v>
      </c>
      <c r="I14" s="87">
        <v>0</v>
      </c>
      <c r="N14" s="5"/>
      <c r="O14" s="5"/>
      <c r="P14" s="5"/>
    </row>
    <row r="15" spans="4:16" ht="21" customHeight="1" x14ac:dyDescent="0.25">
      <c r="D15" s="20" t="s">
        <v>38</v>
      </c>
      <c r="E15" s="11">
        <v>10000</v>
      </c>
      <c r="F15" s="9"/>
      <c r="G15" s="90" t="s">
        <v>83</v>
      </c>
      <c r="H15" s="88">
        <v>0</v>
      </c>
      <c r="I15" s="89">
        <v>0</v>
      </c>
      <c r="N15" s="5"/>
      <c r="O15" s="5"/>
      <c r="P15" s="5"/>
    </row>
    <row r="16" spans="4:16" ht="21" customHeight="1" x14ac:dyDescent="0.25">
      <c r="D16" s="19" t="s">
        <v>36</v>
      </c>
      <c r="E16" s="119">
        <v>0</v>
      </c>
      <c r="F16" s="9"/>
    </row>
    <row r="17" spans="4:12" ht="21" customHeight="1" thickBot="1" x14ac:dyDescent="0.3">
      <c r="D17" s="21" t="s">
        <v>3</v>
      </c>
      <c r="E17" s="150">
        <v>0</v>
      </c>
      <c r="F17" s="9"/>
      <c r="G17" s="184" t="s">
        <v>39</v>
      </c>
      <c r="H17" s="184"/>
      <c r="I17" s="184"/>
    </row>
    <row r="18" spans="4:12" ht="21" customHeight="1" thickTop="1" x14ac:dyDescent="0.25">
      <c r="D18" s="21" t="s">
        <v>147</v>
      </c>
      <c r="E18" s="150">
        <v>0.5</v>
      </c>
      <c r="F18" s="9"/>
      <c r="G18" s="185" t="s">
        <v>40</v>
      </c>
      <c r="H18" s="186"/>
      <c r="I18" s="12">
        <v>0.05</v>
      </c>
    </row>
    <row r="19" spans="4:12" ht="21" customHeight="1" x14ac:dyDescent="0.25">
      <c r="D19" s="2"/>
      <c r="F19" s="9"/>
      <c r="G19" s="180" t="s">
        <v>48</v>
      </c>
      <c r="H19" s="181"/>
      <c r="I19" s="13">
        <v>0.5</v>
      </c>
    </row>
    <row r="20" spans="4:12" ht="21" customHeight="1" x14ac:dyDescent="0.25">
      <c r="D20" s="2"/>
      <c r="F20" s="9"/>
      <c r="G20" s="178" t="s">
        <v>49</v>
      </c>
      <c r="H20" s="179"/>
      <c r="I20" s="14">
        <v>0.99</v>
      </c>
    </row>
    <row r="21" spans="4:12" ht="21" customHeight="1" x14ac:dyDescent="0.25">
      <c r="F21" s="9"/>
    </row>
    <row r="22" spans="4:12" ht="21" customHeight="1" thickBot="1" x14ac:dyDescent="0.3">
      <c r="D22" s="189" t="s">
        <v>18</v>
      </c>
      <c r="E22" s="189"/>
      <c r="F22" s="189"/>
      <c r="G22" s="189"/>
      <c r="H22" s="189"/>
      <c r="I22" s="189"/>
      <c r="J22" s="9"/>
      <c r="K22" s="9"/>
      <c r="L22" s="9"/>
    </row>
    <row r="23" spans="4:12" ht="34.5" customHeight="1" thickTop="1" x14ac:dyDescent="0.25">
      <c r="D23" s="101" t="s">
        <v>9</v>
      </c>
      <c r="E23" s="24" t="s">
        <v>5</v>
      </c>
      <c r="F23" s="95">
        <v>0.05</v>
      </c>
      <c r="G23" s="182" t="s">
        <v>12</v>
      </c>
      <c r="H23" s="183"/>
      <c r="I23" s="183"/>
    </row>
    <row r="24" spans="4:12" ht="42.75" customHeight="1" x14ac:dyDescent="0.3">
      <c r="D24" s="187" t="s">
        <v>10</v>
      </c>
      <c r="E24" s="63" t="s">
        <v>96</v>
      </c>
      <c r="F24" s="96">
        <v>6.7000000000000004E-2</v>
      </c>
      <c r="G24" s="99" t="s">
        <v>58</v>
      </c>
      <c r="H24" s="94" t="s">
        <v>13</v>
      </c>
      <c r="I24" s="94" t="s">
        <v>14</v>
      </c>
    </row>
    <row r="25" spans="4:12" ht="41.4" x14ac:dyDescent="0.3">
      <c r="D25" s="187"/>
      <c r="E25" s="63" t="s">
        <v>97</v>
      </c>
      <c r="F25" s="16">
        <v>1.34E-2</v>
      </c>
      <c r="G25" s="100" t="s">
        <v>84</v>
      </c>
      <c r="H25" s="141">
        <v>0</v>
      </c>
      <c r="I25" s="141">
        <v>0</v>
      </c>
    </row>
    <row r="26" spans="4:12" ht="41.25" customHeight="1" x14ac:dyDescent="0.3">
      <c r="D26" s="187" t="s">
        <v>11</v>
      </c>
      <c r="E26" s="65" t="s">
        <v>55</v>
      </c>
      <c r="F26" s="97">
        <v>613000</v>
      </c>
      <c r="G26" s="100" t="s">
        <v>85</v>
      </c>
      <c r="H26" s="142">
        <v>0</v>
      </c>
      <c r="I26" s="142">
        <v>0</v>
      </c>
    </row>
    <row r="27" spans="4:12" ht="34.5" customHeight="1" x14ac:dyDescent="0.3">
      <c r="D27" s="187"/>
      <c r="E27" s="63" t="s">
        <v>7</v>
      </c>
      <c r="F27" s="16">
        <v>7.7729999999999997</v>
      </c>
      <c r="G27" s="100" t="s">
        <v>86</v>
      </c>
      <c r="H27" s="141">
        <v>0</v>
      </c>
      <c r="I27" s="141">
        <v>0</v>
      </c>
    </row>
    <row r="28" spans="4:12" ht="34.5" customHeight="1" x14ac:dyDescent="0.3">
      <c r="D28" s="187"/>
      <c r="E28" s="65" t="s">
        <v>8</v>
      </c>
      <c r="F28" s="98">
        <v>0.72299999999999998</v>
      </c>
      <c r="G28" s="100" t="s">
        <v>87</v>
      </c>
      <c r="H28" s="143">
        <v>0</v>
      </c>
      <c r="I28" s="143">
        <v>0</v>
      </c>
    </row>
    <row r="29" spans="4:12" x14ac:dyDescent="0.3">
      <c r="D29" s="80" t="s">
        <v>16</v>
      </c>
      <c r="E29" s="25" t="s">
        <v>15</v>
      </c>
      <c r="F29" s="15">
        <v>0.45</v>
      </c>
      <c r="H29" s="2"/>
      <c r="I29" s="2"/>
    </row>
    <row r="30" spans="4:12" ht="27.6" x14ac:dyDescent="0.3">
      <c r="D30" s="176" t="s">
        <v>17</v>
      </c>
      <c r="E30" s="26" t="s">
        <v>74</v>
      </c>
      <c r="F30" s="16">
        <v>0.7</v>
      </c>
      <c r="H30" s="2"/>
      <c r="I30" s="2"/>
    </row>
    <row r="31" spans="4:12" ht="27.6" x14ac:dyDescent="0.3">
      <c r="D31" s="177"/>
      <c r="E31" s="111" t="s">
        <v>79</v>
      </c>
      <c r="F31" s="16">
        <v>0.5</v>
      </c>
      <c r="G31" s="2"/>
    </row>
    <row r="32" spans="4:12" x14ac:dyDescent="0.3">
      <c r="D32" s="2"/>
      <c r="G32" s="2"/>
    </row>
    <row r="33" spans="4:7" x14ac:dyDescent="0.3">
      <c r="D33" s="2"/>
      <c r="G33" s="2"/>
    </row>
  </sheetData>
  <sheetProtection selectLockedCells="1"/>
  <mergeCells count="11">
    <mergeCell ref="D30:D31"/>
    <mergeCell ref="G20:H20"/>
    <mergeCell ref="G19:H19"/>
    <mergeCell ref="G23:I23"/>
    <mergeCell ref="G9:I9"/>
    <mergeCell ref="G17:I17"/>
    <mergeCell ref="G18:H18"/>
    <mergeCell ref="D26:D28"/>
    <mergeCell ref="D10:E10"/>
    <mergeCell ref="D22:I22"/>
    <mergeCell ref="D24:D25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Parameters_Button1_Click">
                <anchor>
                  <from>
                    <xdr:col>5</xdr:col>
                    <xdr:colOff>365760</xdr:colOff>
                    <xdr:row>4</xdr:row>
                    <xdr:rowOff>137160</xdr:rowOff>
                  </from>
                  <to>
                    <xdr:col>6</xdr:col>
                    <xdr:colOff>1379220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inParameters_Button2_Click">
                <anchor>
                  <from>
                    <xdr:col>3</xdr:col>
                    <xdr:colOff>1287780</xdr:colOff>
                    <xdr:row>1</xdr:row>
                    <xdr:rowOff>114300</xdr:rowOff>
                  </from>
                  <to>
                    <xdr:col>5</xdr:col>
                    <xdr:colOff>731520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MainParameters_Button3_Click">
                <anchor>
                  <from>
                    <xdr:col>6</xdr:col>
                    <xdr:colOff>350520</xdr:colOff>
                    <xdr:row>1</xdr:row>
                    <xdr:rowOff>114300</xdr:rowOff>
                  </from>
                  <to>
                    <xdr:col>7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tabase"/>
  <dimension ref="A1:W32"/>
  <sheetViews>
    <sheetView workbookViewId="0">
      <selection activeCell="C8" sqref="C8"/>
    </sheetView>
  </sheetViews>
  <sheetFormatPr defaultColWidth="9.109375" defaultRowHeight="14.4" x14ac:dyDescent="0.3"/>
  <cols>
    <col min="1" max="1" width="7.44140625" style="83" customWidth="1"/>
    <col min="2" max="2" width="11.44140625" style="83" customWidth="1"/>
    <col min="3" max="4" width="12" style="83" customWidth="1"/>
    <col min="5" max="5" width="13.33203125" style="83" customWidth="1"/>
    <col min="6" max="6" width="12.109375" style="83" customWidth="1"/>
    <col min="7" max="8" width="10.33203125" style="83" customWidth="1"/>
    <col min="9" max="9" width="12.109375" style="83" customWidth="1"/>
    <col min="10" max="10" width="10" style="83" customWidth="1"/>
    <col min="11" max="11" width="9.33203125" style="83" customWidth="1"/>
    <col min="12" max="19" width="10.33203125" style="83" customWidth="1"/>
    <col min="20" max="20" width="8.6640625" style="83" bestFit="1" customWidth="1"/>
    <col min="21" max="23" width="9" style="83" customWidth="1"/>
    <col min="24" max="24" width="9.6640625" style="83" customWidth="1"/>
    <col min="25" max="16384" width="9.109375" style="83"/>
  </cols>
  <sheetData>
    <row r="1" spans="1:23" ht="15" x14ac:dyDescent="0.25">
      <c r="B1" s="4"/>
    </row>
    <row r="2" spans="1:23" ht="15" x14ac:dyDescent="0.25">
      <c r="B2" s="4"/>
      <c r="C2" s="114"/>
      <c r="D2" s="114"/>
      <c r="E2" s="84"/>
      <c r="F2" s="115"/>
      <c r="G2" s="115"/>
      <c r="H2" s="115"/>
      <c r="I2" s="115"/>
      <c r="J2" s="115"/>
      <c r="K2" s="115"/>
      <c r="L2" s="116"/>
      <c r="M2" s="116"/>
      <c r="N2" s="116"/>
      <c r="O2" s="116"/>
      <c r="P2" s="116"/>
      <c r="Q2" s="116"/>
      <c r="R2" s="116"/>
      <c r="S2" s="116"/>
      <c r="V2" s="114"/>
      <c r="W2" s="114"/>
    </row>
    <row r="3" spans="1:23" ht="15" x14ac:dyDescent="0.25">
      <c r="B3" s="4"/>
      <c r="C3" s="114"/>
      <c r="D3" s="114"/>
      <c r="E3" s="84"/>
      <c r="F3" s="117"/>
      <c r="G3" s="117"/>
      <c r="H3" s="117"/>
      <c r="I3" s="117"/>
      <c r="J3" s="117"/>
      <c r="K3" s="117"/>
      <c r="L3" s="116"/>
      <c r="M3" s="116"/>
      <c r="N3" s="116"/>
      <c r="O3" s="116"/>
      <c r="P3" s="116"/>
      <c r="Q3" s="116"/>
      <c r="R3" s="116"/>
      <c r="S3" s="116"/>
    </row>
    <row r="4" spans="1:23" ht="15" x14ac:dyDescent="0.25">
      <c r="B4" s="4"/>
      <c r="C4" s="114"/>
      <c r="D4" s="114"/>
      <c r="E4" s="84"/>
      <c r="F4" s="117"/>
      <c r="G4" s="118"/>
      <c r="H4" s="118"/>
      <c r="I4" s="118"/>
      <c r="J4" s="118"/>
      <c r="K4" s="118"/>
      <c r="L4" s="116"/>
      <c r="M4" s="116"/>
      <c r="N4" s="116"/>
      <c r="O4" s="116"/>
      <c r="P4" s="116"/>
      <c r="Q4" s="116"/>
      <c r="R4" s="116"/>
      <c r="S4" s="116"/>
    </row>
    <row r="5" spans="1:23" ht="15" x14ac:dyDescent="0.25">
      <c r="A5" s="113"/>
      <c r="B5" s="112"/>
      <c r="C5" s="113"/>
      <c r="D5" s="113"/>
      <c r="E5" s="112"/>
      <c r="F5" s="113"/>
      <c r="G5" s="113"/>
      <c r="H5" s="112"/>
      <c r="I5" s="113"/>
      <c r="J5" s="113"/>
      <c r="K5" s="112"/>
      <c r="L5" s="113"/>
      <c r="M5" s="113"/>
      <c r="N5" s="112"/>
      <c r="O5" s="113"/>
      <c r="P5" s="113"/>
      <c r="Q5" s="113"/>
      <c r="R5" s="112"/>
      <c r="S5" s="113"/>
      <c r="T5" s="113"/>
      <c r="U5" s="113"/>
      <c r="V5" s="112"/>
    </row>
    <row r="6" spans="1:23" ht="18" customHeight="1" x14ac:dyDescent="0.25">
      <c r="B6" s="4"/>
      <c r="C6" s="81" t="s">
        <v>24</v>
      </c>
      <c r="D6" s="81" t="s">
        <v>42</v>
      </c>
      <c r="E6" s="75" t="s">
        <v>25</v>
      </c>
      <c r="F6" s="190" t="s">
        <v>19</v>
      </c>
      <c r="G6" s="190"/>
      <c r="H6" s="190"/>
      <c r="I6" s="190" t="s">
        <v>20</v>
      </c>
      <c r="J6" s="190"/>
      <c r="K6" s="190"/>
      <c r="L6" s="193" t="s">
        <v>21</v>
      </c>
      <c r="M6" s="194"/>
      <c r="N6" s="194"/>
      <c r="O6" s="194"/>
      <c r="P6" s="194"/>
      <c r="Q6" s="194"/>
      <c r="R6" s="194"/>
      <c r="S6" s="195"/>
      <c r="T6" s="81" t="s">
        <v>23</v>
      </c>
      <c r="U6" s="191" t="s">
        <v>22</v>
      </c>
      <c r="V6" s="192"/>
    </row>
    <row r="7" spans="1:23" ht="63.75" customHeight="1" x14ac:dyDescent="0.25">
      <c r="B7" s="76" t="s">
        <v>41</v>
      </c>
      <c r="C7" s="77" t="s">
        <v>70</v>
      </c>
      <c r="D7" s="78" t="s">
        <v>66</v>
      </c>
      <c r="E7" s="78" t="s">
        <v>6</v>
      </c>
      <c r="F7" s="78" t="s">
        <v>72</v>
      </c>
      <c r="G7" s="78" t="s">
        <v>7</v>
      </c>
      <c r="H7" s="78" t="s">
        <v>71</v>
      </c>
      <c r="I7" s="78" t="s">
        <v>72</v>
      </c>
      <c r="J7" s="78" t="s">
        <v>7</v>
      </c>
      <c r="K7" s="78" t="s">
        <v>71</v>
      </c>
      <c r="L7" s="78" t="s">
        <v>98</v>
      </c>
      <c r="M7" s="78" t="s">
        <v>99</v>
      </c>
      <c r="N7" s="78" t="s">
        <v>100</v>
      </c>
      <c r="O7" s="78" t="s">
        <v>101</v>
      </c>
      <c r="P7" s="78" t="s">
        <v>102</v>
      </c>
      <c r="Q7" s="78" t="s">
        <v>103</v>
      </c>
      <c r="R7" s="78" t="s">
        <v>104</v>
      </c>
      <c r="S7" s="78" t="s">
        <v>105</v>
      </c>
      <c r="T7" s="78" t="s">
        <v>73</v>
      </c>
      <c r="U7" s="79" t="s">
        <v>77</v>
      </c>
      <c r="V7" s="79" t="s">
        <v>78</v>
      </c>
    </row>
    <row r="8" spans="1:23" ht="15" x14ac:dyDescent="0.25">
      <c r="B8" s="40">
        <v>1</v>
      </c>
      <c r="C8" s="39">
        <v>0.05</v>
      </c>
      <c r="D8" s="41">
        <v>1</v>
      </c>
      <c r="E8" s="41">
        <v>1</v>
      </c>
      <c r="F8" s="41">
        <v>6.7000000000000004E-2</v>
      </c>
      <c r="G8" s="41">
        <v>0</v>
      </c>
      <c r="H8" s="41">
        <v>1.34E-2</v>
      </c>
      <c r="I8" s="41">
        <v>613000</v>
      </c>
      <c r="J8" s="41">
        <v>7.7729999999999997</v>
      </c>
      <c r="K8" s="41">
        <v>0.72299999999999998</v>
      </c>
      <c r="L8" s="41">
        <v>0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41">
        <v>0</v>
      </c>
      <c r="S8" s="41">
        <v>0</v>
      </c>
      <c r="T8" s="41">
        <v>0.45</v>
      </c>
      <c r="U8" s="41">
        <v>0.7</v>
      </c>
      <c r="V8" s="40">
        <v>0.5</v>
      </c>
    </row>
    <row r="9" spans="1:23" ht="15" x14ac:dyDescent="0.25">
      <c r="B9" s="149">
        <v>2</v>
      </c>
      <c r="C9" s="43">
        <v>0.05</v>
      </c>
      <c r="D9" s="42">
        <v>1</v>
      </c>
      <c r="E9" s="42">
        <v>1</v>
      </c>
      <c r="F9" s="42">
        <v>6.7000000000000004E-2</v>
      </c>
      <c r="G9" s="42">
        <v>0</v>
      </c>
      <c r="H9" s="42">
        <v>1.34E-2</v>
      </c>
      <c r="I9" s="42">
        <v>613000</v>
      </c>
      <c r="J9" s="42">
        <v>7.7729999999999997</v>
      </c>
      <c r="K9" s="42">
        <v>0.72299999999999998</v>
      </c>
      <c r="L9" s="42">
        <v>0</v>
      </c>
      <c r="M9" s="42">
        <v>0</v>
      </c>
      <c r="N9" s="42">
        <v>0</v>
      </c>
      <c r="O9" s="42">
        <v>0</v>
      </c>
      <c r="P9" s="42">
        <v>0</v>
      </c>
      <c r="Q9" s="42">
        <v>0</v>
      </c>
      <c r="R9" s="42">
        <v>0</v>
      </c>
      <c r="S9" s="42">
        <v>0</v>
      </c>
      <c r="T9" s="42">
        <v>0.45</v>
      </c>
      <c r="U9" s="42">
        <v>0.7</v>
      </c>
      <c r="V9" s="149">
        <v>0.5</v>
      </c>
    </row>
    <row r="10" spans="1:23" ht="15" x14ac:dyDescent="0.25">
      <c r="B10" s="144">
        <v>3</v>
      </c>
      <c r="C10" s="152">
        <v>0.05</v>
      </c>
      <c r="D10" s="151">
        <v>1</v>
      </c>
      <c r="E10" s="151">
        <v>1</v>
      </c>
      <c r="F10" s="151">
        <v>6.7000000000000004E-2</v>
      </c>
      <c r="G10" s="151">
        <v>0</v>
      </c>
      <c r="H10" s="151">
        <v>1.34E-2</v>
      </c>
      <c r="I10" s="151">
        <v>613000</v>
      </c>
      <c r="J10" s="151">
        <v>7.7729999999999997</v>
      </c>
      <c r="K10" s="151">
        <v>0.72299999999999998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0.45</v>
      </c>
      <c r="U10" s="151">
        <v>0.7</v>
      </c>
      <c r="V10" s="144">
        <v>0.5</v>
      </c>
    </row>
    <row r="11" spans="1:23" ht="15" x14ac:dyDescent="0.25">
      <c r="B11" s="149">
        <v>4</v>
      </c>
      <c r="C11" s="43">
        <v>0.05</v>
      </c>
      <c r="D11" s="42">
        <v>1</v>
      </c>
      <c r="E11" s="42">
        <v>1</v>
      </c>
      <c r="F11" s="42">
        <v>6.7000000000000004E-2</v>
      </c>
      <c r="G11" s="42">
        <v>0</v>
      </c>
      <c r="H11" s="42">
        <v>1.34E-2</v>
      </c>
      <c r="I11" s="42">
        <v>613000</v>
      </c>
      <c r="J11" s="42">
        <v>7.7729999999999997</v>
      </c>
      <c r="K11" s="42">
        <v>0.72299999999999998</v>
      </c>
      <c r="L11" s="42">
        <v>0</v>
      </c>
      <c r="M11" s="42">
        <v>0</v>
      </c>
      <c r="N11" s="42">
        <v>0</v>
      </c>
      <c r="O11" s="42">
        <v>0</v>
      </c>
      <c r="P11" s="42">
        <v>0</v>
      </c>
      <c r="Q11" s="42">
        <v>0</v>
      </c>
      <c r="R11" s="42">
        <v>0</v>
      </c>
      <c r="S11" s="42">
        <v>0</v>
      </c>
      <c r="T11" s="42">
        <v>0.45</v>
      </c>
      <c r="U11" s="42">
        <v>0.7</v>
      </c>
      <c r="V11" s="149">
        <v>0.5</v>
      </c>
    </row>
    <row r="12" spans="1:23" ht="15" x14ac:dyDescent="0.25">
      <c r="B12" s="144">
        <v>5</v>
      </c>
      <c r="C12" s="152">
        <v>0.05</v>
      </c>
      <c r="D12" s="151">
        <v>1</v>
      </c>
      <c r="E12" s="151">
        <v>1</v>
      </c>
      <c r="F12" s="151">
        <v>6.7000000000000004E-2</v>
      </c>
      <c r="G12" s="151">
        <v>0</v>
      </c>
      <c r="H12" s="151">
        <v>1.34E-2</v>
      </c>
      <c r="I12" s="151">
        <v>613000</v>
      </c>
      <c r="J12" s="151">
        <v>7.7729999999999997</v>
      </c>
      <c r="K12" s="151">
        <v>0.72299999999999998</v>
      </c>
      <c r="L12" s="151">
        <v>0</v>
      </c>
      <c r="M12" s="151">
        <v>0</v>
      </c>
      <c r="N12" s="151">
        <v>0</v>
      </c>
      <c r="O12" s="151">
        <v>0</v>
      </c>
      <c r="P12" s="151">
        <v>0</v>
      </c>
      <c r="Q12" s="151">
        <v>0</v>
      </c>
      <c r="R12" s="151">
        <v>0</v>
      </c>
      <c r="S12" s="151">
        <v>0</v>
      </c>
      <c r="T12" s="151">
        <v>0.45</v>
      </c>
      <c r="U12" s="151">
        <v>0.7</v>
      </c>
      <c r="V12" s="144">
        <v>0.5</v>
      </c>
    </row>
    <row r="13" spans="1:23" ht="15" x14ac:dyDescent="0.25">
      <c r="B13" s="149">
        <v>6</v>
      </c>
      <c r="C13" s="43">
        <v>0.05</v>
      </c>
      <c r="D13" s="42">
        <v>1</v>
      </c>
      <c r="E13" s="42">
        <v>1</v>
      </c>
      <c r="F13" s="42">
        <v>6.7000000000000004E-2</v>
      </c>
      <c r="G13" s="42">
        <v>0</v>
      </c>
      <c r="H13" s="42">
        <v>1.34E-2</v>
      </c>
      <c r="I13" s="42">
        <v>613000</v>
      </c>
      <c r="J13" s="42">
        <v>7.7729999999999997</v>
      </c>
      <c r="K13" s="42">
        <v>0.72299999999999998</v>
      </c>
      <c r="L13" s="42">
        <v>0</v>
      </c>
      <c r="M13" s="42">
        <v>0</v>
      </c>
      <c r="N13" s="42">
        <v>0</v>
      </c>
      <c r="O13" s="42">
        <v>0</v>
      </c>
      <c r="P13" s="42">
        <v>0</v>
      </c>
      <c r="Q13" s="42">
        <v>0</v>
      </c>
      <c r="R13" s="42">
        <v>0</v>
      </c>
      <c r="S13" s="42">
        <v>0</v>
      </c>
      <c r="T13" s="42">
        <v>0.45</v>
      </c>
      <c r="U13" s="42">
        <v>0.7</v>
      </c>
      <c r="V13" s="149">
        <v>0.5</v>
      </c>
    </row>
    <row r="14" spans="1:23" ht="15" x14ac:dyDescent="0.25">
      <c r="B14" s="144">
        <v>7</v>
      </c>
      <c r="C14" s="152">
        <v>0.05</v>
      </c>
      <c r="D14" s="151">
        <v>1</v>
      </c>
      <c r="E14" s="151">
        <v>1</v>
      </c>
      <c r="F14" s="151">
        <v>6.7000000000000004E-2</v>
      </c>
      <c r="G14" s="151">
        <v>0</v>
      </c>
      <c r="H14" s="151">
        <v>1.34E-2</v>
      </c>
      <c r="I14" s="151">
        <v>613000</v>
      </c>
      <c r="J14" s="151">
        <v>7.7729999999999997</v>
      </c>
      <c r="K14" s="151">
        <v>0.72299999999999998</v>
      </c>
      <c r="L14" s="151">
        <v>0</v>
      </c>
      <c r="M14" s="151">
        <v>0</v>
      </c>
      <c r="N14" s="151">
        <v>0</v>
      </c>
      <c r="O14" s="151">
        <v>0</v>
      </c>
      <c r="P14" s="151">
        <v>0</v>
      </c>
      <c r="Q14" s="151">
        <v>0</v>
      </c>
      <c r="R14" s="151">
        <v>0</v>
      </c>
      <c r="S14" s="151">
        <v>0</v>
      </c>
      <c r="T14" s="151">
        <v>0.45</v>
      </c>
      <c r="U14" s="151">
        <v>0.7</v>
      </c>
      <c r="V14" s="144">
        <v>0.5</v>
      </c>
    </row>
    <row r="15" spans="1:23" ht="15" x14ac:dyDescent="0.25">
      <c r="B15" s="149">
        <v>8</v>
      </c>
      <c r="C15" s="43">
        <v>0.05</v>
      </c>
      <c r="D15" s="42">
        <v>1</v>
      </c>
      <c r="E15" s="42">
        <v>1</v>
      </c>
      <c r="F15" s="42">
        <v>6.7000000000000004E-2</v>
      </c>
      <c r="G15" s="42">
        <v>0</v>
      </c>
      <c r="H15" s="42">
        <v>1.34E-2</v>
      </c>
      <c r="I15" s="42">
        <v>613000</v>
      </c>
      <c r="J15" s="42">
        <v>7.7729999999999997</v>
      </c>
      <c r="K15" s="42">
        <v>0.72299999999999998</v>
      </c>
      <c r="L15" s="42">
        <v>0</v>
      </c>
      <c r="M15" s="42">
        <v>0</v>
      </c>
      <c r="N15" s="42">
        <v>0</v>
      </c>
      <c r="O15" s="42">
        <v>0</v>
      </c>
      <c r="P15" s="42">
        <v>0</v>
      </c>
      <c r="Q15" s="42">
        <v>0</v>
      </c>
      <c r="R15" s="42">
        <v>0</v>
      </c>
      <c r="S15" s="42">
        <v>0</v>
      </c>
      <c r="T15" s="42">
        <v>0.45</v>
      </c>
      <c r="U15" s="42">
        <v>0.7</v>
      </c>
      <c r="V15" s="149">
        <v>0.5</v>
      </c>
    </row>
    <row r="16" spans="1:23" ht="15" x14ac:dyDescent="0.25">
      <c r="B16" s="144">
        <v>9</v>
      </c>
      <c r="C16" s="152">
        <v>0.05</v>
      </c>
      <c r="D16" s="151">
        <v>1</v>
      </c>
      <c r="E16" s="151">
        <v>1</v>
      </c>
      <c r="F16" s="151">
        <v>6.7000000000000004E-2</v>
      </c>
      <c r="G16" s="151">
        <v>0</v>
      </c>
      <c r="H16" s="151">
        <v>1.34E-2</v>
      </c>
      <c r="I16" s="151">
        <v>613000</v>
      </c>
      <c r="J16" s="151">
        <v>7.7729999999999997</v>
      </c>
      <c r="K16" s="151">
        <v>0.72299999999999998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0.45</v>
      </c>
      <c r="U16" s="151">
        <v>0.7</v>
      </c>
      <c r="V16" s="144">
        <v>0.5</v>
      </c>
    </row>
    <row r="17" spans="2:22" ht="15" x14ac:dyDescent="0.25">
      <c r="B17" s="149">
        <v>10</v>
      </c>
      <c r="C17" s="43">
        <v>0.05</v>
      </c>
      <c r="D17" s="42">
        <v>1</v>
      </c>
      <c r="E17" s="42">
        <v>1</v>
      </c>
      <c r="F17" s="42">
        <v>6.7000000000000004E-2</v>
      </c>
      <c r="G17" s="42">
        <v>0</v>
      </c>
      <c r="H17" s="42">
        <v>1.34E-2</v>
      </c>
      <c r="I17" s="42">
        <v>613000</v>
      </c>
      <c r="J17" s="42">
        <v>7.7729999999999997</v>
      </c>
      <c r="K17" s="42">
        <v>0.72299999999999998</v>
      </c>
      <c r="L17" s="42">
        <v>0</v>
      </c>
      <c r="M17" s="42">
        <v>0</v>
      </c>
      <c r="N17" s="42">
        <v>0</v>
      </c>
      <c r="O17" s="42">
        <v>0</v>
      </c>
      <c r="P17" s="42">
        <v>0</v>
      </c>
      <c r="Q17" s="42">
        <v>0</v>
      </c>
      <c r="R17" s="42">
        <v>0</v>
      </c>
      <c r="S17" s="42">
        <v>0</v>
      </c>
      <c r="T17" s="42">
        <v>0.45</v>
      </c>
      <c r="U17" s="42">
        <v>0.7</v>
      </c>
      <c r="V17" s="149">
        <v>0.5</v>
      </c>
    </row>
    <row r="18" spans="2:22" ht="15" x14ac:dyDescent="0.25">
      <c r="B18" s="144">
        <v>11</v>
      </c>
      <c r="C18" s="152">
        <v>0.05</v>
      </c>
      <c r="D18" s="151">
        <v>1</v>
      </c>
      <c r="E18" s="151">
        <v>1</v>
      </c>
      <c r="F18" s="151">
        <v>6.7000000000000004E-2</v>
      </c>
      <c r="G18" s="151">
        <v>0</v>
      </c>
      <c r="H18" s="151">
        <v>1.34E-2</v>
      </c>
      <c r="I18" s="151">
        <v>613000</v>
      </c>
      <c r="J18" s="151">
        <v>7.7729999999999997</v>
      </c>
      <c r="K18" s="151">
        <v>0.72299999999999998</v>
      </c>
      <c r="L18" s="151">
        <v>0</v>
      </c>
      <c r="M18" s="151">
        <v>0</v>
      </c>
      <c r="N18" s="151">
        <v>0</v>
      </c>
      <c r="O18" s="151">
        <v>0</v>
      </c>
      <c r="P18" s="151">
        <v>0</v>
      </c>
      <c r="Q18" s="151">
        <v>0</v>
      </c>
      <c r="R18" s="151">
        <v>0</v>
      </c>
      <c r="S18" s="151">
        <v>0</v>
      </c>
      <c r="T18" s="151">
        <v>0.45</v>
      </c>
      <c r="U18" s="151">
        <v>0.7</v>
      </c>
      <c r="V18" s="144">
        <v>0.5</v>
      </c>
    </row>
    <row r="19" spans="2:22" ht="15" x14ac:dyDescent="0.25">
      <c r="B19" s="149">
        <v>12</v>
      </c>
      <c r="C19" s="43">
        <v>0.05</v>
      </c>
      <c r="D19" s="42">
        <v>1</v>
      </c>
      <c r="E19" s="42">
        <v>1</v>
      </c>
      <c r="F19" s="42">
        <v>6.7000000000000004E-2</v>
      </c>
      <c r="G19" s="42">
        <v>0</v>
      </c>
      <c r="H19" s="42">
        <v>1.34E-2</v>
      </c>
      <c r="I19" s="42">
        <v>613000</v>
      </c>
      <c r="J19" s="42">
        <v>7.7729999999999997</v>
      </c>
      <c r="K19" s="42">
        <v>0.72299999999999998</v>
      </c>
      <c r="L19" s="42">
        <v>0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0.45</v>
      </c>
      <c r="U19" s="42">
        <v>0.7</v>
      </c>
      <c r="V19" s="149">
        <v>0.5</v>
      </c>
    </row>
    <row r="20" spans="2:22" ht="15" x14ac:dyDescent="0.25">
      <c r="B20" s="144">
        <v>13</v>
      </c>
      <c r="C20" s="152">
        <v>0.05</v>
      </c>
      <c r="D20" s="151">
        <v>1</v>
      </c>
      <c r="E20" s="151">
        <v>1</v>
      </c>
      <c r="F20" s="151">
        <v>6.7000000000000004E-2</v>
      </c>
      <c r="G20" s="151">
        <v>0</v>
      </c>
      <c r="H20" s="151">
        <v>1.34E-2</v>
      </c>
      <c r="I20" s="151">
        <v>613000</v>
      </c>
      <c r="J20" s="151">
        <v>7.7729999999999997</v>
      </c>
      <c r="K20" s="151">
        <v>0.72299999999999998</v>
      </c>
      <c r="L20" s="151">
        <v>0</v>
      </c>
      <c r="M20" s="151">
        <v>0</v>
      </c>
      <c r="N20" s="151">
        <v>0</v>
      </c>
      <c r="O20" s="151">
        <v>0</v>
      </c>
      <c r="P20" s="151">
        <v>0</v>
      </c>
      <c r="Q20" s="151">
        <v>0</v>
      </c>
      <c r="R20" s="151">
        <v>0</v>
      </c>
      <c r="S20" s="151">
        <v>0</v>
      </c>
      <c r="T20" s="151">
        <v>0.45</v>
      </c>
      <c r="U20" s="151">
        <v>0.7</v>
      </c>
      <c r="V20" s="144">
        <v>0.5</v>
      </c>
    </row>
    <row r="21" spans="2:22" ht="15" x14ac:dyDescent="0.25">
      <c r="B21" s="149">
        <v>14</v>
      </c>
      <c r="C21" s="43">
        <v>0.05</v>
      </c>
      <c r="D21" s="42">
        <v>1</v>
      </c>
      <c r="E21" s="42">
        <v>1</v>
      </c>
      <c r="F21" s="42">
        <v>6.7000000000000004E-2</v>
      </c>
      <c r="G21" s="42">
        <v>0</v>
      </c>
      <c r="H21" s="42">
        <v>1.34E-2</v>
      </c>
      <c r="I21" s="42">
        <v>613000</v>
      </c>
      <c r="J21" s="42">
        <v>7.7729999999999997</v>
      </c>
      <c r="K21" s="42">
        <v>0.72299999999999998</v>
      </c>
      <c r="L21" s="42">
        <v>0</v>
      </c>
      <c r="M21" s="42">
        <v>0</v>
      </c>
      <c r="N21" s="42">
        <v>0</v>
      </c>
      <c r="O21" s="42">
        <v>0</v>
      </c>
      <c r="P21" s="42">
        <v>0</v>
      </c>
      <c r="Q21" s="42">
        <v>0</v>
      </c>
      <c r="R21" s="42">
        <v>0</v>
      </c>
      <c r="S21" s="42">
        <v>0</v>
      </c>
      <c r="T21" s="42">
        <v>0.45</v>
      </c>
      <c r="U21" s="42">
        <v>0.7</v>
      </c>
      <c r="V21" s="149">
        <v>0.5</v>
      </c>
    </row>
    <row r="22" spans="2:22" ht="15" x14ac:dyDescent="0.25">
      <c r="B22" s="144">
        <v>15</v>
      </c>
      <c r="C22" s="152">
        <v>0.05</v>
      </c>
      <c r="D22" s="151">
        <v>1</v>
      </c>
      <c r="E22" s="151">
        <v>1</v>
      </c>
      <c r="F22" s="151">
        <v>6.7000000000000004E-2</v>
      </c>
      <c r="G22" s="151">
        <v>0</v>
      </c>
      <c r="H22" s="151">
        <v>1.34E-2</v>
      </c>
      <c r="I22" s="151">
        <v>613000</v>
      </c>
      <c r="J22" s="151">
        <v>7.7729999999999997</v>
      </c>
      <c r="K22" s="151">
        <v>0.72299999999999998</v>
      </c>
      <c r="L22" s="151">
        <v>0</v>
      </c>
      <c r="M22" s="151">
        <v>0</v>
      </c>
      <c r="N22" s="151">
        <v>0</v>
      </c>
      <c r="O22" s="151">
        <v>0</v>
      </c>
      <c r="P22" s="151">
        <v>0</v>
      </c>
      <c r="Q22" s="151">
        <v>0</v>
      </c>
      <c r="R22" s="151">
        <v>0</v>
      </c>
      <c r="S22" s="151">
        <v>0</v>
      </c>
      <c r="T22" s="151">
        <v>0.45</v>
      </c>
      <c r="U22" s="151">
        <v>0.7</v>
      </c>
      <c r="V22" s="144">
        <v>0.5</v>
      </c>
    </row>
    <row r="23" spans="2:22" ht="15" x14ac:dyDescent="0.25">
      <c r="B23" s="149">
        <v>16</v>
      </c>
      <c r="C23" s="43">
        <v>0.05</v>
      </c>
      <c r="D23" s="42">
        <v>1</v>
      </c>
      <c r="E23" s="42">
        <v>1</v>
      </c>
      <c r="F23" s="42">
        <v>6.7000000000000004E-2</v>
      </c>
      <c r="G23" s="42">
        <v>0</v>
      </c>
      <c r="H23" s="42">
        <v>1.34E-2</v>
      </c>
      <c r="I23" s="42">
        <v>613000</v>
      </c>
      <c r="J23" s="42">
        <v>7.7729999999999997</v>
      </c>
      <c r="K23" s="42">
        <v>0.72299999999999998</v>
      </c>
      <c r="L23" s="42">
        <v>0</v>
      </c>
      <c r="M23" s="42">
        <v>0</v>
      </c>
      <c r="N23" s="42">
        <v>0</v>
      </c>
      <c r="O23" s="42">
        <v>0</v>
      </c>
      <c r="P23" s="42">
        <v>0</v>
      </c>
      <c r="Q23" s="42">
        <v>0</v>
      </c>
      <c r="R23" s="42">
        <v>0</v>
      </c>
      <c r="S23" s="42">
        <v>0</v>
      </c>
      <c r="T23" s="42">
        <v>0.45</v>
      </c>
      <c r="U23" s="42">
        <v>0.7</v>
      </c>
      <c r="V23" s="149">
        <v>0.5</v>
      </c>
    </row>
    <row r="24" spans="2:22" ht="15" x14ac:dyDescent="0.25">
      <c r="B24" s="144">
        <v>17</v>
      </c>
      <c r="C24" s="152">
        <v>0.05</v>
      </c>
      <c r="D24" s="151">
        <v>1</v>
      </c>
      <c r="E24" s="151">
        <v>1</v>
      </c>
      <c r="F24" s="151">
        <v>6.7000000000000004E-2</v>
      </c>
      <c r="G24" s="151">
        <v>0</v>
      </c>
      <c r="H24" s="151">
        <v>1.34E-2</v>
      </c>
      <c r="I24" s="151">
        <v>613000</v>
      </c>
      <c r="J24" s="151">
        <v>7.7729999999999997</v>
      </c>
      <c r="K24" s="151">
        <v>0.72299999999999998</v>
      </c>
      <c r="L24" s="151">
        <v>0</v>
      </c>
      <c r="M24" s="151">
        <v>0</v>
      </c>
      <c r="N24" s="151">
        <v>0</v>
      </c>
      <c r="O24" s="151">
        <v>0</v>
      </c>
      <c r="P24" s="151">
        <v>0</v>
      </c>
      <c r="Q24" s="151">
        <v>0</v>
      </c>
      <c r="R24" s="151">
        <v>0</v>
      </c>
      <c r="S24" s="151">
        <v>0</v>
      </c>
      <c r="T24" s="151">
        <v>0.45</v>
      </c>
      <c r="U24" s="151">
        <v>0.7</v>
      </c>
      <c r="V24" s="144">
        <v>0.5</v>
      </c>
    </row>
    <row r="25" spans="2:22" ht="15" x14ac:dyDescent="0.25">
      <c r="B25" s="149">
        <v>18</v>
      </c>
      <c r="C25" s="43">
        <v>0.05</v>
      </c>
      <c r="D25" s="42">
        <v>1</v>
      </c>
      <c r="E25" s="42">
        <v>1</v>
      </c>
      <c r="F25" s="42">
        <v>6.7000000000000004E-2</v>
      </c>
      <c r="G25" s="42">
        <v>0</v>
      </c>
      <c r="H25" s="42">
        <v>1.34E-2</v>
      </c>
      <c r="I25" s="42">
        <v>613000</v>
      </c>
      <c r="J25" s="42">
        <v>7.7729999999999997</v>
      </c>
      <c r="K25" s="42">
        <v>0.72299999999999998</v>
      </c>
      <c r="L25" s="42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2">
        <v>0</v>
      </c>
      <c r="T25" s="42">
        <v>0.45</v>
      </c>
      <c r="U25" s="42">
        <v>0.7</v>
      </c>
      <c r="V25" s="149">
        <v>0.5</v>
      </c>
    </row>
    <row r="26" spans="2:22" ht="15" x14ac:dyDescent="0.25">
      <c r="B26" s="144">
        <v>19</v>
      </c>
      <c r="C26" s="152">
        <v>0.05</v>
      </c>
      <c r="D26" s="151">
        <v>1</v>
      </c>
      <c r="E26" s="151">
        <v>1</v>
      </c>
      <c r="F26" s="151">
        <v>6.7000000000000004E-2</v>
      </c>
      <c r="G26" s="151">
        <v>0</v>
      </c>
      <c r="H26" s="151">
        <v>1.34E-2</v>
      </c>
      <c r="I26" s="151">
        <v>613000</v>
      </c>
      <c r="J26" s="151">
        <v>7.7729999999999997</v>
      </c>
      <c r="K26" s="151">
        <v>0.72299999999999998</v>
      </c>
      <c r="L26" s="151">
        <v>0</v>
      </c>
      <c r="M26" s="151">
        <v>0</v>
      </c>
      <c r="N26" s="151">
        <v>0</v>
      </c>
      <c r="O26" s="151">
        <v>0</v>
      </c>
      <c r="P26" s="151">
        <v>0</v>
      </c>
      <c r="Q26" s="151">
        <v>0</v>
      </c>
      <c r="R26" s="151">
        <v>0</v>
      </c>
      <c r="S26" s="151">
        <v>0</v>
      </c>
      <c r="T26" s="151">
        <v>0.45</v>
      </c>
      <c r="U26" s="151">
        <v>0.7</v>
      </c>
      <c r="V26" s="144">
        <v>0.5</v>
      </c>
    </row>
    <row r="27" spans="2:22" x14ac:dyDescent="0.3">
      <c r="B27" s="149">
        <v>20</v>
      </c>
      <c r="C27" s="43">
        <v>0.05</v>
      </c>
      <c r="D27" s="42">
        <v>1</v>
      </c>
      <c r="E27" s="42">
        <v>1</v>
      </c>
      <c r="F27" s="42">
        <v>6.7000000000000004E-2</v>
      </c>
      <c r="G27" s="42">
        <v>0</v>
      </c>
      <c r="H27" s="42">
        <v>1.34E-2</v>
      </c>
      <c r="I27" s="42">
        <v>613000</v>
      </c>
      <c r="J27" s="42">
        <v>7.7729999999999997</v>
      </c>
      <c r="K27" s="42">
        <v>0.72299999999999998</v>
      </c>
      <c r="L27" s="42">
        <v>0</v>
      </c>
      <c r="M27" s="42">
        <v>0</v>
      </c>
      <c r="N27" s="42">
        <v>0</v>
      </c>
      <c r="O27" s="42">
        <v>0</v>
      </c>
      <c r="P27" s="42">
        <v>0</v>
      </c>
      <c r="Q27" s="42">
        <v>0</v>
      </c>
      <c r="R27" s="42">
        <v>0</v>
      </c>
      <c r="S27" s="42">
        <v>0</v>
      </c>
      <c r="T27" s="42">
        <v>0.45</v>
      </c>
      <c r="U27" s="42">
        <v>0.7</v>
      </c>
      <c r="V27" s="149">
        <v>0.5</v>
      </c>
    </row>
    <row r="28" spans="2:22" x14ac:dyDescent="0.3">
      <c r="B28" s="144">
        <v>21</v>
      </c>
      <c r="C28" s="152">
        <v>0.05</v>
      </c>
      <c r="D28" s="151">
        <v>1</v>
      </c>
      <c r="E28" s="151">
        <v>1</v>
      </c>
      <c r="F28" s="151">
        <v>6.7000000000000004E-2</v>
      </c>
      <c r="G28" s="151">
        <v>0</v>
      </c>
      <c r="H28" s="151">
        <v>1.34E-2</v>
      </c>
      <c r="I28" s="151">
        <v>613000</v>
      </c>
      <c r="J28" s="151">
        <v>7.7729999999999997</v>
      </c>
      <c r="K28" s="151">
        <v>0.72299999999999998</v>
      </c>
      <c r="L28" s="151">
        <v>0</v>
      </c>
      <c r="M28" s="151">
        <v>0</v>
      </c>
      <c r="N28" s="151">
        <v>0</v>
      </c>
      <c r="O28" s="151">
        <v>0</v>
      </c>
      <c r="P28" s="151">
        <v>0</v>
      </c>
      <c r="Q28" s="151">
        <v>0</v>
      </c>
      <c r="R28" s="151">
        <v>0</v>
      </c>
      <c r="S28" s="151">
        <v>0</v>
      </c>
      <c r="T28" s="151">
        <v>0.45</v>
      </c>
      <c r="U28" s="151">
        <v>0.7</v>
      </c>
      <c r="V28" s="144">
        <v>0.5</v>
      </c>
    </row>
    <row r="29" spans="2:22" x14ac:dyDescent="0.3">
      <c r="B29" s="149">
        <v>22</v>
      </c>
      <c r="C29" s="43">
        <v>0.05</v>
      </c>
      <c r="D29" s="42">
        <v>1</v>
      </c>
      <c r="E29" s="42">
        <v>1</v>
      </c>
      <c r="F29" s="42">
        <v>6.7000000000000004E-2</v>
      </c>
      <c r="G29" s="42">
        <v>0</v>
      </c>
      <c r="H29" s="42">
        <v>1.34E-2</v>
      </c>
      <c r="I29" s="42">
        <v>613000</v>
      </c>
      <c r="J29" s="42">
        <v>7.7729999999999997</v>
      </c>
      <c r="K29" s="42">
        <v>0.72299999999999998</v>
      </c>
      <c r="L29" s="42">
        <v>0</v>
      </c>
      <c r="M29" s="42">
        <v>0</v>
      </c>
      <c r="N29" s="42">
        <v>0</v>
      </c>
      <c r="O29" s="42">
        <v>0</v>
      </c>
      <c r="P29" s="42">
        <v>0</v>
      </c>
      <c r="Q29" s="42">
        <v>0</v>
      </c>
      <c r="R29" s="42">
        <v>0</v>
      </c>
      <c r="S29" s="42">
        <v>0</v>
      </c>
      <c r="T29" s="42">
        <v>0.45</v>
      </c>
      <c r="U29" s="42">
        <v>0.7</v>
      </c>
      <c r="V29" s="149">
        <v>0.5</v>
      </c>
    </row>
    <row r="30" spans="2:22" x14ac:dyDescent="0.3">
      <c r="B30" s="144">
        <v>23</v>
      </c>
      <c r="C30" s="152">
        <v>0.05</v>
      </c>
      <c r="D30" s="151">
        <v>1</v>
      </c>
      <c r="E30" s="151">
        <v>1</v>
      </c>
      <c r="F30" s="151">
        <v>6.7000000000000004E-2</v>
      </c>
      <c r="G30" s="151">
        <v>0</v>
      </c>
      <c r="H30" s="151">
        <v>1.34E-2</v>
      </c>
      <c r="I30" s="151">
        <v>613000</v>
      </c>
      <c r="J30" s="151">
        <v>7.7729999999999997</v>
      </c>
      <c r="K30" s="151">
        <v>0.72299999999999998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0.45</v>
      </c>
      <c r="U30" s="151">
        <v>0.7</v>
      </c>
      <c r="V30" s="144">
        <v>0.5</v>
      </c>
    </row>
    <row r="31" spans="2:22" x14ac:dyDescent="0.3">
      <c r="B31" s="149">
        <v>24</v>
      </c>
      <c r="C31" s="43">
        <v>0.05</v>
      </c>
      <c r="D31" s="42">
        <v>1</v>
      </c>
      <c r="E31" s="42">
        <v>1</v>
      </c>
      <c r="F31" s="42">
        <v>6.7000000000000004E-2</v>
      </c>
      <c r="G31" s="42">
        <v>0</v>
      </c>
      <c r="H31" s="42">
        <v>1.34E-2</v>
      </c>
      <c r="I31" s="42">
        <v>613000</v>
      </c>
      <c r="J31" s="42">
        <v>7.7729999999999997</v>
      </c>
      <c r="K31" s="42">
        <v>0.72299999999999998</v>
      </c>
      <c r="L31" s="42">
        <v>0</v>
      </c>
      <c r="M31" s="42">
        <v>0</v>
      </c>
      <c r="N31" s="42">
        <v>0</v>
      </c>
      <c r="O31" s="42">
        <v>0</v>
      </c>
      <c r="P31" s="42">
        <v>0</v>
      </c>
      <c r="Q31" s="42">
        <v>0</v>
      </c>
      <c r="R31" s="42">
        <v>0</v>
      </c>
      <c r="S31" s="42">
        <v>0</v>
      </c>
      <c r="T31" s="42">
        <v>0.45</v>
      </c>
      <c r="U31" s="42">
        <v>0.7</v>
      </c>
      <c r="V31" s="149">
        <v>0.5</v>
      </c>
    </row>
    <row r="32" spans="2:22" x14ac:dyDescent="0.3">
      <c r="B32" s="148">
        <v>25</v>
      </c>
      <c r="C32" s="146">
        <v>0.05</v>
      </c>
      <c r="D32" s="145">
        <v>1</v>
      </c>
      <c r="E32" s="145">
        <v>1</v>
      </c>
      <c r="F32" s="145">
        <v>6.7000000000000004E-2</v>
      </c>
      <c r="G32" s="145">
        <v>0</v>
      </c>
      <c r="H32" s="145">
        <v>1.34E-2</v>
      </c>
      <c r="I32" s="145">
        <v>613000</v>
      </c>
      <c r="J32" s="145">
        <v>7.7729999999999997</v>
      </c>
      <c r="K32" s="145">
        <v>0.72299999999999998</v>
      </c>
      <c r="L32" s="145">
        <v>0</v>
      </c>
      <c r="M32" s="145">
        <v>0</v>
      </c>
      <c r="N32" s="145">
        <v>0</v>
      </c>
      <c r="O32" s="145">
        <v>0</v>
      </c>
      <c r="P32" s="145">
        <v>0</v>
      </c>
      <c r="Q32" s="145">
        <v>0</v>
      </c>
      <c r="R32" s="145">
        <v>0</v>
      </c>
      <c r="S32" s="145">
        <v>0</v>
      </c>
      <c r="T32" s="145">
        <v>0.45</v>
      </c>
      <c r="U32" s="145">
        <v>0.7</v>
      </c>
      <c r="V32" s="148">
        <v>0.5</v>
      </c>
    </row>
  </sheetData>
  <sheetProtection formatCells="0" formatRows="0" deleteRows="0" selectLockedCells="1"/>
  <mergeCells count="4">
    <mergeCell ref="I6:K6"/>
    <mergeCell ref="F6:H6"/>
    <mergeCell ref="U6:V6"/>
    <mergeCell ref="L6:S6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database_Button1_Click">
                <anchor>
                  <from>
                    <xdr:col>6</xdr:col>
                    <xdr:colOff>76200</xdr:colOff>
                    <xdr:row>1</xdr:row>
                    <xdr:rowOff>121920</xdr:rowOff>
                  </from>
                  <to>
                    <xdr:col>8</xdr:col>
                    <xdr:colOff>533400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sults"/>
  <dimension ref="B1:T117"/>
  <sheetViews>
    <sheetView workbookViewId="0">
      <selection activeCell="G6" sqref="G6"/>
    </sheetView>
  </sheetViews>
  <sheetFormatPr defaultColWidth="9.109375" defaultRowHeight="14.4" x14ac:dyDescent="0.3"/>
  <cols>
    <col min="1" max="1" width="9.109375" style="123"/>
    <col min="2" max="2" width="20.6640625" style="123" customWidth="1"/>
    <col min="3" max="7" width="20.6640625" style="131" customWidth="1"/>
    <col min="8" max="8" width="13.88671875" style="136" bestFit="1" customWidth="1"/>
    <col min="9" max="9" width="15.6640625" style="136" customWidth="1"/>
    <col min="10" max="10" width="15.6640625" style="123" customWidth="1"/>
    <col min="11" max="15" width="12.6640625" style="123" customWidth="1"/>
    <col min="16" max="16" width="9.109375" style="123"/>
    <col min="17" max="17" width="26.109375" style="123" bestFit="1" customWidth="1"/>
    <col min="18" max="18" width="29.33203125" style="123" bestFit="1" customWidth="1"/>
    <col min="19" max="19" width="33.109375" style="123" bestFit="1" customWidth="1"/>
    <col min="20" max="16384" width="9.109375" style="123"/>
  </cols>
  <sheetData>
    <row r="1" spans="2:20" ht="15" x14ac:dyDescent="0.25">
      <c r="C1" s="123"/>
      <c r="D1" s="123"/>
      <c r="E1" s="123"/>
      <c r="F1" s="123"/>
      <c r="G1" s="123"/>
      <c r="H1" s="123"/>
      <c r="I1" s="123"/>
    </row>
    <row r="2" spans="2:20" ht="15" x14ac:dyDescent="0.25">
      <c r="C2" s="137"/>
      <c r="D2" s="137"/>
      <c r="E2" s="137"/>
      <c r="F2" s="137"/>
      <c r="G2" s="123"/>
      <c r="H2" s="123"/>
      <c r="I2" s="123"/>
    </row>
    <row r="3" spans="2:20" ht="15" x14ac:dyDescent="0.25">
      <c r="C3" s="137"/>
      <c r="D3" s="137"/>
      <c r="E3" s="137"/>
      <c r="F3" s="137"/>
      <c r="G3" s="123"/>
      <c r="H3" s="123"/>
      <c r="I3" s="123"/>
    </row>
    <row r="4" spans="2:20" ht="15" x14ac:dyDescent="0.25">
      <c r="C4" s="137"/>
      <c r="D4" s="137"/>
      <c r="E4" s="137"/>
      <c r="F4" s="137"/>
      <c r="G4" s="123"/>
      <c r="H4" s="123"/>
      <c r="I4" s="123"/>
    </row>
    <row r="5" spans="2:20" ht="15" x14ac:dyDescent="0.25">
      <c r="C5" s="123"/>
      <c r="D5" s="123"/>
      <c r="E5" s="123"/>
      <c r="F5" s="123"/>
      <c r="G5" s="123"/>
      <c r="H5" s="123"/>
      <c r="I5" s="123"/>
    </row>
    <row r="6" spans="2:20" ht="21" customHeight="1" thickBot="1" x14ac:dyDescent="0.3">
      <c r="C6" s="196" t="s">
        <v>47</v>
      </c>
      <c r="D6" s="197"/>
      <c r="E6" s="197"/>
      <c r="F6" s="198"/>
      <c r="G6" s="123"/>
      <c r="H6" s="123"/>
      <c r="I6" s="123"/>
    </row>
    <row r="7" spans="2:20" ht="15" customHeight="1" thickTop="1" x14ac:dyDescent="0.25">
      <c r="C7" s="205" t="s">
        <v>32</v>
      </c>
      <c r="D7" s="206"/>
      <c r="E7" s="207"/>
      <c r="F7" s="122">
        <v>50</v>
      </c>
      <c r="G7" s="123"/>
      <c r="H7" s="123"/>
      <c r="I7" s="123"/>
    </row>
    <row r="8" spans="2:20" ht="15" customHeight="1" x14ac:dyDescent="0.25">
      <c r="C8" s="199" t="s">
        <v>106</v>
      </c>
      <c r="D8" s="200"/>
      <c r="E8" s="201"/>
      <c r="F8" s="125">
        <v>0.24</v>
      </c>
      <c r="G8" s="123"/>
      <c r="H8" s="123"/>
      <c r="I8" s="123"/>
    </row>
    <row r="9" spans="2:20" ht="15" customHeight="1" x14ac:dyDescent="0.25">
      <c r="C9" s="199" t="s">
        <v>107</v>
      </c>
      <c r="D9" s="200"/>
      <c r="E9" s="201"/>
      <c r="F9" s="126">
        <v>0.24</v>
      </c>
      <c r="G9" s="123"/>
      <c r="H9" s="123"/>
      <c r="I9" s="123"/>
    </row>
    <row r="10" spans="2:20" ht="15" customHeight="1" x14ac:dyDescent="0.25">
      <c r="C10" s="199" t="s">
        <v>108</v>
      </c>
      <c r="D10" s="200"/>
      <c r="E10" s="201"/>
      <c r="F10" s="135">
        <v>0.23</v>
      </c>
      <c r="G10" s="123"/>
      <c r="H10" s="123"/>
      <c r="I10" s="123"/>
    </row>
    <row r="11" spans="2:20" ht="15" customHeight="1" x14ac:dyDescent="0.25">
      <c r="C11" s="199" t="s">
        <v>110</v>
      </c>
      <c r="D11" s="200"/>
      <c r="E11" s="201"/>
      <c r="F11" s="127">
        <v>2.7313000000000001</v>
      </c>
      <c r="G11" s="123"/>
      <c r="H11" s="123"/>
      <c r="I11" s="123"/>
    </row>
    <row r="12" spans="2:20" ht="15" customHeight="1" x14ac:dyDescent="0.25">
      <c r="C12" s="199" t="s">
        <v>111</v>
      </c>
      <c r="D12" s="200"/>
      <c r="E12" s="201"/>
      <c r="F12" s="128">
        <v>4.2895000000000003</v>
      </c>
      <c r="G12" s="123"/>
      <c r="H12" s="123"/>
      <c r="I12" s="123"/>
    </row>
    <row r="13" spans="2:20" ht="15" customHeight="1" x14ac:dyDescent="0.25">
      <c r="C13" s="202" t="s">
        <v>112</v>
      </c>
      <c r="D13" s="203"/>
      <c r="E13" s="204"/>
      <c r="F13" s="138">
        <v>16.689</v>
      </c>
      <c r="G13" s="123"/>
      <c r="H13" s="123"/>
      <c r="I13" s="123"/>
    </row>
    <row r="14" spans="2:20" ht="15" customHeight="1" x14ac:dyDescent="0.25">
      <c r="C14" s="215" t="s">
        <v>139</v>
      </c>
      <c r="D14" s="216"/>
      <c r="E14" s="217"/>
      <c r="F14" s="147">
        <v>0.18652932359130808</v>
      </c>
      <c r="G14" s="123"/>
      <c r="H14" s="123"/>
      <c r="I14" s="123"/>
    </row>
    <row r="15" spans="2:20" s="136" customFormat="1" ht="15" customHeight="1" x14ac:dyDescent="0.25">
      <c r="C15" s="120"/>
      <c r="D15" s="120"/>
      <c r="E15" s="120"/>
      <c r="F15" s="121"/>
    </row>
    <row r="16" spans="2:20" ht="18" customHeight="1" thickBot="1" x14ac:dyDescent="0.3">
      <c r="B16" s="212" t="s">
        <v>138</v>
      </c>
      <c r="C16" s="213"/>
      <c r="D16" s="213"/>
      <c r="E16" s="214"/>
      <c r="F16" s="214"/>
      <c r="G16" s="214"/>
      <c r="H16" s="123"/>
      <c r="I16" s="210" t="s">
        <v>109</v>
      </c>
      <c r="J16" s="211"/>
      <c r="L16" s="208" t="s">
        <v>118</v>
      </c>
      <c r="M16" s="209"/>
      <c r="N16" s="209"/>
      <c r="O16" s="209"/>
      <c r="Q16" s="208" t="s">
        <v>141</v>
      </c>
      <c r="R16" s="209"/>
      <c r="S16" s="209"/>
      <c r="T16" s="209"/>
    </row>
    <row r="17" spans="2:19" ht="15.75" customHeight="1" thickTop="1" x14ac:dyDescent="0.25">
      <c r="B17" s="124" t="s">
        <v>41</v>
      </c>
      <c r="C17" s="134" t="s">
        <v>133</v>
      </c>
      <c r="D17" s="134" t="s">
        <v>134</v>
      </c>
      <c r="E17" s="124" t="s">
        <v>135</v>
      </c>
      <c r="F17" s="124" t="s">
        <v>136</v>
      </c>
      <c r="G17" s="124" t="s">
        <v>137</v>
      </c>
      <c r="I17" s="132" t="s">
        <v>117</v>
      </c>
      <c r="J17" s="133" t="s">
        <v>140</v>
      </c>
      <c r="L17" s="132" t="s">
        <v>120</v>
      </c>
      <c r="M17" s="132" t="s">
        <v>121</v>
      </c>
      <c r="N17" s="133" t="s">
        <v>122</v>
      </c>
      <c r="O17" s="133" t="s">
        <v>119</v>
      </c>
      <c r="R17" s="123" t="s">
        <v>142</v>
      </c>
      <c r="S17" s="123" t="s">
        <v>143</v>
      </c>
    </row>
    <row r="18" spans="2:19" ht="15" customHeight="1" x14ac:dyDescent="0.25">
      <c r="B18" s="123">
        <v>1</v>
      </c>
      <c r="C18" s="123">
        <v>1.9999999899999995E-8</v>
      </c>
      <c r="D18" s="123">
        <v>1.9999999899999995E-8</v>
      </c>
      <c r="E18" s="123">
        <v>1.9999999899999995E-8</v>
      </c>
      <c r="F18" s="123">
        <v>1.9999999899999995E-8</v>
      </c>
      <c r="G18" s="123">
        <v>1.9999999899999995E-8</v>
      </c>
      <c r="I18" s="131">
        <v>1</v>
      </c>
      <c r="J18" s="131">
        <v>4.1666666458333326E-10</v>
      </c>
      <c r="L18" s="123" t="s">
        <v>123</v>
      </c>
      <c r="M18" s="123">
        <v>0</v>
      </c>
      <c r="N18" s="123">
        <v>0.1</v>
      </c>
      <c r="O18" s="123">
        <f xml:space="preserve"> COUNTIF($J$18:$J$500,"&gt;"&amp;M18) - COUNTIF($J$18:$J$500,"&gt;"&amp;N18)</f>
        <v>76</v>
      </c>
      <c r="Q18" s="123" t="s">
        <v>144</v>
      </c>
      <c r="R18" s="123">
        <f>$F$7*F8</f>
        <v>12</v>
      </c>
      <c r="S18" s="123">
        <f>$F$7-R18</f>
        <v>38</v>
      </c>
    </row>
    <row r="19" spans="2:19" ht="15" customHeight="1" x14ac:dyDescent="0.25">
      <c r="B19" s="123">
        <v>2</v>
      </c>
      <c r="C19" s="123">
        <v>4.345059467316561E-7</v>
      </c>
      <c r="D19" s="123">
        <v>4.345059467316561E-7</v>
      </c>
      <c r="E19" s="123">
        <v>4.345059467316561E-7</v>
      </c>
      <c r="F19" s="123">
        <v>4.7458481086165476E-3</v>
      </c>
      <c r="G19" s="123">
        <v>1.4122152258393946E-2</v>
      </c>
      <c r="I19" s="131">
        <v>2</v>
      </c>
      <c r="J19" s="131">
        <v>0.79788093205295585</v>
      </c>
      <c r="L19" s="123" t="s">
        <v>124</v>
      </c>
      <c r="M19" s="123">
        <v>0.1</v>
      </c>
      <c r="N19" s="123">
        <v>0.2</v>
      </c>
      <c r="O19" s="123">
        <f xml:space="preserve"> COUNTIF($J$18:$J$500,"&gt;"&amp;M19) - COUNTIF($J$18:$J$500,"&gt;"&amp;N19)</f>
        <v>0</v>
      </c>
      <c r="Q19" s="123" t="s">
        <v>145</v>
      </c>
      <c r="R19" s="123">
        <f>$F$7*F9</f>
        <v>12</v>
      </c>
      <c r="S19" s="123">
        <f t="shared" ref="S19:S20" si="0">$F$7-R19</f>
        <v>38</v>
      </c>
    </row>
    <row r="20" spans="2:19" ht="15" x14ac:dyDescent="0.25">
      <c r="B20" s="123">
        <v>3</v>
      </c>
      <c r="C20" s="123">
        <v>1.8952809202315639E-7</v>
      </c>
      <c r="D20" s="123">
        <v>1.8952809202315639E-7</v>
      </c>
      <c r="E20" s="123">
        <v>1.895282706220876E-7</v>
      </c>
      <c r="F20" s="123">
        <v>9.8320702094907758E-2</v>
      </c>
      <c r="G20" s="123">
        <v>0.13928324473843365</v>
      </c>
      <c r="I20" s="131">
        <v>3</v>
      </c>
      <c r="J20" s="131">
        <v>4.1666666458333326E-10</v>
      </c>
      <c r="L20" s="123" t="s">
        <v>125</v>
      </c>
      <c r="M20" s="123">
        <v>0.2</v>
      </c>
      <c r="N20" s="123">
        <v>0.3</v>
      </c>
      <c r="O20" s="123">
        <f t="shared" ref="O20:O27" si="1" xml:space="preserve"> COUNTIF($J$18:$J$500,"&gt;"&amp;M20) - COUNTIF($J$18:$J$500,"&gt;"&amp;N20)</f>
        <v>0</v>
      </c>
      <c r="Q20" s="123" t="s">
        <v>146</v>
      </c>
      <c r="R20" s="123">
        <f>$F$7*F10</f>
        <v>11.5</v>
      </c>
      <c r="S20" s="123">
        <f t="shared" si="0"/>
        <v>38.5</v>
      </c>
    </row>
    <row r="21" spans="2:19" ht="15" x14ac:dyDescent="0.25">
      <c r="B21" s="123">
        <v>4</v>
      </c>
      <c r="C21" s="123">
        <v>8.3397253962184423E-8</v>
      </c>
      <c r="D21" s="123">
        <v>8.3397253962184423E-8</v>
      </c>
      <c r="E21" s="123">
        <v>4.5466717618424385E-2</v>
      </c>
      <c r="F21" s="123">
        <v>0.49276043826097371</v>
      </c>
      <c r="G21" s="123">
        <v>0.56265066354343007</v>
      </c>
      <c r="I21" s="131">
        <v>4</v>
      </c>
      <c r="J21" s="131">
        <v>4.1666666458333326E-10</v>
      </c>
      <c r="L21" s="123" t="s">
        <v>126</v>
      </c>
      <c r="M21" s="123">
        <v>0.3</v>
      </c>
      <c r="N21" s="123">
        <v>0.4</v>
      </c>
      <c r="O21" s="123">
        <f t="shared" si="1"/>
        <v>0</v>
      </c>
    </row>
    <row r="22" spans="2:19" ht="15" x14ac:dyDescent="0.25">
      <c r="B22" s="123">
        <v>5</v>
      </c>
      <c r="C22" s="123">
        <v>3.7410224754783523E-8</v>
      </c>
      <c r="D22" s="123">
        <v>3.7410228103045703E-8</v>
      </c>
      <c r="E22" s="123">
        <v>0.36407140136346716</v>
      </c>
      <c r="F22" s="123">
        <v>0.7998230435237289</v>
      </c>
      <c r="G22" s="123">
        <v>0.82486695212556271</v>
      </c>
      <c r="I22" s="131">
        <v>5</v>
      </c>
      <c r="J22" s="131">
        <v>0.8384236195655147</v>
      </c>
      <c r="L22" s="123" t="s">
        <v>127</v>
      </c>
      <c r="M22" s="123">
        <v>0.4</v>
      </c>
      <c r="N22" s="123">
        <v>0.5</v>
      </c>
      <c r="O22" s="123">
        <f t="shared" si="1"/>
        <v>0</v>
      </c>
    </row>
    <row r="23" spans="2:19" ht="15" x14ac:dyDescent="0.25">
      <c r="B23" s="123">
        <v>6</v>
      </c>
      <c r="C23" s="123">
        <v>1.7466082115242944E-8</v>
      </c>
      <c r="D23" s="123">
        <v>4.4815968784140342E-3</v>
      </c>
      <c r="E23" s="123">
        <v>0.74760279248389105</v>
      </c>
      <c r="F23" s="123">
        <v>0.88843566661716655</v>
      </c>
      <c r="G23" s="123">
        <v>0.89807137243745405</v>
      </c>
      <c r="I23" s="131">
        <v>6</v>
      </c>
      <c r="J23" s="131">
        <v>0.8397798157725388</v>
      </c>
      <c r="L23" s="123" t="s">
        <v>128</v>
      </c>
      <c r="M23" s="123">
        <v>0.5</v>
      </c>
      <c r="N23" s="123">
        <v>0.6</v>
      </c>
      <c r="O23" s="123">
        <f t="shared" si="1"/>
        <v>2</v>
      </c>
    </row>
    <row r="24" spans="2:19" ht="15" x14ac:dyDescent="0.25">
      <c r="B24" s="123">
        <v>7</v>
      </c>
      <c r="C24" s="123">
        <v>1.8230869663689146E-4</v>
      </c>
      <c r="D24" s="123">
        <v>4.6154926252925436E-2</v>
      </c>
      <c r="E24" s="123">
        <v>0.85709844642899313</v>
      </c>
      <c r="F24" s="123">
        <v>0.92392253980120476</v>
      </c>
      <c r="G24" s="123">
        <v>0.92938872077477463</v>
      </c>
      <c r="I24" s="131">
        <v>7</v>
      </c>
      <c r="J24" s="131">
        <v>1.8521081111735673E-8</v>
      </c>
      <c r="L24" s="123" t="s">
        <v>129</v>
      </c>
      <c r="M24" s="123">
        <v>0.6</v>
      </c>
      <c r="N24" s="123">
        <v>0.7</v>
      </c>
      <c r="O24" s="123">
        <f t="shared" si="1"/>
        <v>2</v>
      </c>
    </row>
    <row r="25" spans="2:19" ht="15" x14ac:dyDescent="0.25">
      <c r="B25" s="123">
        <v>8</v>
      </c>
      <c r="C25" s="123">
        <v>1.89356343031245E-3</v>
      </c>
      <c r="D25" s="123">
        <v>0.27968092896186475</v>
      </c>
      <c r="E25" s="123">
        <v>0.90312007687730578</v>
      </c>
      <c r="F25" s="123">
        <v>0.94395427462069126</v>
      </c>
      <c r="G25" s="123">
        <v>0.94756065496590902</v>
      </c>
      <c r="I25" s="131">
        <v>8</v>
      </c>
      <c r="J25" s="131">
        <v>0.83842351702108842</v>
      </c>
      <c r="L25" s="123" t="s">
        <v>130</v>
      </c>
      <c r="M25" s="123">
        <v>0.7</v>
      </c>
      <c r="N25" s="123">
        <v>0.8</v>
      </c>
      <c r="O25" s="123">
        <f t="shared" si="1"/>
        <v>9</v>
      </c>
    </row>
    <row r="26" spans="2:19" ht="15" x14ac:dyDescent="0.25">
      <c r="B26" s="123">
        <v>9</v>
      </c>
      <c r="C26" s="123">
        <v>1.7725970521819463E-2</v>
      </c>
      <c r="D26" s="123">
        <v>0.56255933843278227</v>
      </c>
      <c r="E26" s="123">
        <v>0.92926256016792252</v>
      </c>
      <c r="F26" s="123">
        <v>0.95707164437640668</v>
      </c>
      <c r="G26" s="123">
        <v>0.95963372256547119</v>
      </c>
      <c r="I26" s="131">
        <v>9</v>
      </c>
      <c r="J26" s="131">
        <v>4.1666666458333326E-10</v>
      </c>
      <c r="L26" s="123" t="s">
        <v>131</v>
      </c>
      <c r="M26" s="123">
        <v>0.8</v>
      </c>
      <c r="N26" s="123">
        <v>0.9</v>
      </c>
      <c r="O26" s="123">
        <f t="shared" si="1"/>
        <v>11</v>
      </c>
    </row>
    <row r="27" spans="2:19" ht="15" x14ac:dyDescent="0.25">
      <c r="B27" s="123">
        <v>10</v>
      </c>
      <c r="C27" s="123">
        <v>0.12336876309621465</v>
      </c>
      <c r="D27" s="123">
        <v>0.72144245027773035</v>
      </c>
      <c r="E27" s="123">
        <v>0.94631003617042131</v>
      </c>
      <c r="F27" s="123">
        <v>0.96635813188842445</v>
      </c>
      <c r="G27" s="123">
        <v>0.96825674198134037</v>
      </c>
      <c r="I27" s="131">
        <v>10</v>
      </c>
      <c r="J27" s="131">
        <v>4.1666666458333326E-10</v>
      </c>
      <c r="L27" s="123" t="s">
        <v>132</v>
      </c>
      <c r="M27" s="123">
        <v>0.9</v>
      </c>
      <c r="N27" s="123">
        <v>1</v>
      </c>
      <c r="O27" s="123">
        <f t="shared" si="1"/>
        <v>0</v>
      </c>
    </row>
    <row r="28" spans="2:19" ht="15" x14ac:dyDescent="0.25">
      <c r="B28" s="123">
        <v>11</v>
      </c>
      <c r="C28" s="123">
        <v>0.37581340341680303</v>
      </c>
      <c r="D28" s="123">
        <v>0.81072205447410484</v>
      </c>
      <c r="E28" s="123">
        <v>0.95828696572482785</v>
      </c>
      <c r="F28" s="123">
        <v>0.97324160058874754</v>
      </c>
      <c r="G28" s="123">
        <v>0.9746864821737331</v>
      </c>
      <c r="I28" s="123">
        <v>11</v>
      </c>
      <c r="J28" s="123">
        <v>4.1666666458333326E-10</v>
      </c>
    </row>
    <row r="29" spans="2:19" ht="15" x14ac:dyDescent="0.25">
      <c r="B29" s="123">
        <v>12</v>
      </c>
      <c r="C29" s="123">
        <v>0.58047486051278341</v>
      </c>
      <c r="D29" s="123">
        <v>0.86482048679843415</v>
      </c>
      <c r="E29" s="123">
        <v>0.96708656765440537</v>
      </c>
      <c r="F29" s="123">
        <v>0.97849473800762055</v>
      </c>
      <c r="G29" s="123">
        <v>0.97961439752449764</v>
      </c>
      <c r="I29" s="123">
        <v>12</v>
      </c>
      <c r="J29" s="123">
        <v>2.6418109565296227E-8</v>
      </c>
    </row>
    <row r="30" spans="2:19" x14ac:dyDescent="0.3">
      <c r="B30" s="123">
        <v>13</v>
      </c>
      <c r="C30" s="123">
        <v>0.70972825131424266</v>
      </c>
      <c r="D30" s="123">
        <v>0.90029150437938288</v>
      </c>
      <c r="E30" s="123">
        <v>0.97374117375595381</v>
      </c>
      <c r="F30" s="123">
        <v>0.98258289851306757</v>
      </c>
      <c r="G30" s="123">
        <v>0.98346197740458541</v>
      </c>
      <c r="I30" s="136">
        <v>13</v>
      </c>
      <c r="J30" s="123">
        <v>4.1666666458333326E-10</v>
      </c>
    </row>
    <row r="31" spans="2:19" x14ac:dyDescent="0.3">
      <c r="B31" s="123">
        <v>14</v>
      </c>
      <c r="C31" s="123">
        <v>0.79306363788011736</v>
      </c>
      <c r="D31" s="123">
        <v>0.92481276418245184</v>
      </c>
      <c r="E31" s="123">
        <v>0.97887402255504874</v>
      </c>
      <c r="F31" s="123">
        <v>0.98580867184543797</v>
      </c>
      <c r="G31" s="123">
        <v>0.98650580382922182</v>
      </c>
      <c r="I31" s="136">
        <v>14</v>
      </c>
      <c r="J31" s="123">
        <v>4.1666666458333326E-10</v>
      </c>
    </row>
    <row r="32" spans="2:19" x14ac:dyDescent="0.3">
      <c r="B32" s="123">
        <v>15</v>
      </c>
      <c r="C32" s="123">
        <v>0.8490446832261811</v>
      </c>
      <c r="D32" s="123">
        <v>0.94237545513056742</v>
      </c>
      <c r="E32" s="123">
        <v>0.98288980087208699</v>
      </c>
      <c r="F32" s="123">
        <v>0.98838009619756284</v>
      </c>
      <c r="G32" s="123">
        <v>0.98893738186645319</v>
      </c>
      <c r="I32" s="136">
        <v>15</v>
      </c>
      <c r="J32" s="123">
        <v>0.79788090904537745</v>
      </c>
    </row>
    <row r="33" spans="2:10" x14ac:dyDescent="0.3">
      <c r="B33" s="123">
        <v>16</v>
      </c>
      <c r="C33" s="123">
        <v>0.88790617411621631</v>
      </c>
      <c r="D33" s="123">
        <v>0.95527108489865153</v>
      </c>
      <c r="E33" s="123">
        <v>0.9860655447361113</v>
      </c>
      <c r="F33" s="123">
        <v>0.99044614550671306</v>
      </c>
      <c r="G33" s="123">
        <v>0.99089461039633853</v>
      </c>
      <c r="I33" s="136">
        <v>16</v>
      </c>
      <c r="J33" s="123">
        <v>4.1666666458333326E-10</v>
      </c>
    </row>
    <row r="34" spans="2:10" x14ac:dyDescent="0.3">
      <c r="B34" s="123">
        <v>17</v>
      </c>
      <c r="C34" s="123">
        <v>0.91555556608152444</v>
      </c>
      <c r="D34" s="123">
        <v>0.96491632137467775</v>
      </c>
      <c r="E34" s="123">
        <v>0.98859836282996083</v>
      </c>
      <c r="F34" s="123">
        <v>0.9921167219016519</v>
      </c>
      <c r="G34" s="123">
        <v>0.99247967508901069</v>
      </c>
      <c r="I34" s="136">
        <v>17</v>
      </c>
      <c r="J34" s="123">
        <v>4.1666666458333326E-10</v>
      </c>
    </row>
    <row r="35" spans="2:10" x14ac:dyDescent="0.3">
      <c r="B35" s="123">
        <v>18</v>
      </c>
      <c r="C35" s="123">
        <v>0.93560240038622688</v>
      </c>
      <c r="D35" s="123">
        <v>0.97223554451409644</v>
      </c>
      <c r="E35" s="123">
        <v>0.9906325263070781</v>
      </c>
      <c r="F35" s="123">
        <v>0.99347469938541078</v>
      </c>
      <c r="G35" s="123">
        <v>0.9937699122921968</v>
      </c>
      <c r="I35" s="136">
        <v>18</v>
      </c>
      <c r="J35" s="123">
        <v>3.1451729892574189E-8</v>
      </c>
    </row>
    <row r="36" spans="2:10" x14ac:dyDescent="0.3">
      <c r="B36" s="123">
        <v>19</v>
      </c>
      <c r="C36" s="123">
        <v>0.9503588811198771</v>
      </c>
      <c r="D36" s="123">
        <v>0.97785614107742602</v>
      </c>
      <c r="E36" s="123">
        <v>0.99227587995092792</v>
      </c>
      <c r="F36" s="123">
        <v>0.99458360148928127</v>
      </c>
      <c r="G36" s="123">
        <v>0.99482478169236288</v>
      </c>
      <c r="I36" s="136">
        <v>19</v>
      </c>
      <c r="J36" s="123">
        <v>0.71314660205649627</v>
      </c>
    </row>
    <row r="37" spans="2:10" x14ac:dyDescent="0.3">
      <c r="B37" s="123">
        <v>20</v>
      </c>
      <c r="C37" s="123">
        <v>0.96136075258475051</v>
      </c>
      <c r="D37" s="123">
        <v>0.98221647019993519</v>
      </c>
      <c r="E37" s="123">
        <v>0.99361033675179677</v>
      </c>
      <c r="F37" s="123">
        <v>0.99549273128457549</v>
      </c>
      <c r="G37" s="123">
        <v>0.99569055255306382</v>
      </c>
      <c r="I37" s="136">
        <v>20</v>
      </c>
      <c r="J37" s="123">
        <v>4.1666666458333326E-10</v>
      </c>
    </row>
    <row r="38" spans="2:10" x14ac:dyDescent="0.3">
      <c r="B38" s="123">
        <v>21</v>
      </c>
      <c r="C38" s="123">
        <v>0.96965614684823187</v>
      </c>
      <c r="D38" s="123">
        <v>0.985629582692505</v>
      </c>
      <c r="E38" s="123">
        <v>0.99469889213640994</v>
      </c>
      <c r="F38" s="123">
        <v>0.99624073221443044</v>
      </c>
      <c r="G38" s="123">
        <v>0.99640357283539949</v>
      </c>
      <c r="I38" s="136">
        <v>21</v>
      </c>
      <c r="J38" s="123">
        <v>4.1666666458333326E-10</v>
      </c>
    </row>
    <row r="39" spans="2:10" x14ac:dyDescent="0.3">
      <c r="B39" s="123">
        <v>22</v>
      </c>
      <c r="C39" s="131">
        <v>0.97597526185199535</v>
      </c>
      <c r="D39" s="123">
        <v>0.9883228658134855</v>
      </c>
      <c r="E39" s="123">
        <v>0.99559048046079157</v>
      </c>
      <c r="F39" s="131">
        <v>0.99685813527269962</v>
      </c>
      <c r="G39" s="131">
        <v>0.99699261774323011</v>
      </c>
      <c r="I39" s="136">
        <v>22</v>
      </c>
      <c r="J39" s="123">
        <v>4.1666666458333326E-10</v>
      </c>
    </row>
    <row r="40" spans="2:10" x14ac:dyDescent="0.3">
      <c r="B40" s="123">
        <v>23</v>
      </c>
      <c r="C40" s="131">
        <v>0.98083498534717117</v>
      </c>
      <c r="D40" s="123">
        <v>0.99046376145963788</v>
      </c>
      <c r="E40" s="123">
        <v>0.99632343186600913</v>
      </c>
      <c r="F40" s="131">
        <v>0.99736922419074336</v>
      </c>
      <c r="G40" s="131">
        <v>0.9974806158035967</v>
      </c>
      <c r="I40" s="136">
        <v>23</v>
      </c>
      <c r="J40" s="123">
        <v>4.1666666458333326E-10</v>
      </c>
    </row>
    <row r="41" spans="2:10" x14ac:dyDescent="0.3">
      <c r="B41" s="123">
        <v>24</v>
      </c>
      <c r="C41" s="131">
        <v>0.98460596250093713</v>
      </c>
      <c r="D41" s="123">
        <v>0.99217699997776587</v>
      </c>
      <c r="E41" s="123">
        <v>0.9969279862918492</v>
      </c>
      <c r="F41" s="131">
        <v>0.99779342609797883</v>
      </c>
      <c r="G41" s="131">
        <v>0.99788593993455788</v>
      </c>
      <c r="I41" s="136">
        <v>24</v>
      </c>
      <c r="J41" s="123">
        <v>0.8384236195655147</v>
      </c>
    </row>
    <row r="42" spans="2:10" x14ac:dyDescent="0.3">
      <c r="B42" s="123">
        <v>25</v>
      </c>
      <c r="C42" s="131">
        <v>0.98755690441048882</v>
      </c>
      <c r="D42" s="123">
        <v>0.9935564401140502</v>
      </c>
      <c r="E42" s="123">
        <v>0.99742815260379669</v>
      </c>
      <c r="F42" s="131">
        <v>0.99814636300343096</v>
      </c>
      <c r="G42" s="131">
        <v>0.99822338637863339</v>
      </c>
      <c r="I42" s="136">
        <v>25</v>
      </c>
      <c r="J42" s="123">
        <v>1.8521098289375911E-8</v>
      </c>
    </row>
    <row r="43" spans="2:10" x14ac:dyDescent="0.3">
      <c r="B43" s="123">
        <v>13.5</v>
      </c>
      <c r="C43" s="131">
        <v>0.97784255235747886</v>
      </c>
      <c r="D43" s="123">
        <v>0.98653370146786301</v>
      </c>
      <c r="E43" s="123">
        <v>0.99355988940314344</v>
      </c>
      <c r="F43" s="131">
        <v>0.99406060737741508</v>
      </c>
      <c r="G43" s="131">
        <v>0.99407284253609007</v>
      </c>
      <c r="I43" s="136">
        <v>26</v>
      </c>
      <c r="J43" s="123">
        <v>2.6418084946033856E-8</v>
      </c>
    </row>
    <row r="44" spans="2:10" x14ac:dyDescent="0.3">
      <c r="B44" s="123">
        <v>14</v>
      </c>
      <c r="C44" s="131">
        <v>0.98045628254729877</v>
      </c>
      <c r="D44" s="123">
        <v>0.98799644287032296</v>
      </c>
      <c r="E44" s="123">
        <v>0.99419637154724705</v>
      </c>
      <c r="F44" s="131">
        <v>0.9946430936769679</v>
      </c>
      <c r="G44" s="131">
        <v>0.99465401852518287</v>
      </c>
      <c r="I44" s="136">
        <v>27</v>
      </c>
      <c r="J44" s="123">
        <v>1.8521081111735673E-8</v>
      </c>
    </row>
    <row r="45" spans="2:10" x14ac:dyDescent="0.3">
      <c r="B45" s="123">
        <v>14.5</v>
      </c>
      <c r="C45" s="131">
        <v>0.98311061657009025</v>
      </c>
      <c r="D45" s="123">
        <v>0.98950250610549173</v>
      </c>
      <c r="E45" s="123">
        <v>0.99486219819735089</v>
      </c>
      <c r="F45" s="131">
        <v>0.99525320544672002</v>
      </c>
      <c r="G45" s="131">
        <v>0.99526277661574525</v>
      </c>
      <c r="I45" s="136">
        <v>28</v>
      </c>
      <c r="J45" s="123">
        <v>1.8521081111735673E-8</v>
      </c>
    </row>
    <row r="46" spans="2:10" x14ac:dyDescent="0.3">
      <c r="B46" s="123">
        <v>15</v>
      </c>
      <c r="C46" s="131">
        <v>0.9850356887855648</v>
      </c>
      <c r="D46" s="123">
        <v>0.99061197746643637</v>
      </c>
      <c r="E46" s="123">
        <v>0.99536141985767157</v>
      </c>
      <c r="F46" s="131">
        <v>0.99571129130961467</v>
      </c>
      <c r="G46" s="131">
        <v>0.99571986170404037</v>
      </c>
      <c r="I46" s="136">
        <v>29</v>
      </c>
      <c r="J46" s="123">
        <v>0.77714997037756917</v>
      </c>
    </row>
    <row r="47" spans="2:10" x14ac:dyDescent="0.3">
      <c r="B47" s="123">
        <v>15.5</v>
      </c>
      <c r="C47" s="131">
        <v>0.98700223997988845</v>
      </c>
      <c r="D47" s="123">
        <v>0.9917597067536108</v>
      </c>
      <c r="E47" s="123">
        <v>0.9958851392833693</v>
      </c>
      <c r="F47" s="131">
        <v>0.99619238777301011</v>
      </c>
      <c r="G47" s="131">
        <v>0.99619992011393788</v>
      </c>
      <c r="I47" s="136">
        <v>30</v>
      </c>
      <c r="J47" s="123">
        <v>2.6418084946033856E-8</v>
      </c>
    </row>
    <row r="48" spans="2:10" x14ac:dyDescent="0.3">
      <c r="B48" s="123">
        <v>16</v>
      </c>
      <c r="C48" s="131">
        <v>0.98843759713985546</v>
      </c>
      <c r="D48" s="131">
        <v>0.99260945227710762</v>
      </c>
      <c r="E48" s="131">
        <v>0.99627897873892768</v>
      </c>
      <c r="F48" s="131">
        <v>0.99655461803469803</v>
      </c>
      <c r="G48" s="131">
        <v>0.99656137966619307</v>
      </c>
      <c r="I48" s="136">
        <v>31</v>
      </c>
      <c r="J48" s="123">
        <v>4.1666666458333326E-10</v>
      </c>
    </row>
    <row r="49" spans="2:10" x14ac:dyDescent="0.3">
      <c r="B49" s="123">
        <v>16.5</v>
      </c>
      <c r="C49" s="131">
        <v>0.98991160414934098</v>
      </c>
      <c r="D49" s="131">
        <v>0.99349210172607949</v>
      </c>
      <c r="E49" s="131">
        <v>0.99669314516817731</v>
      </c>
      <c r="F49" s="131">
        <v>0.99693591323837349</v>
      </c>
      <c r="G49" s="131">
        <v>0.99694187264907552</v>
      </c>
      <c r="I49" s="136">
        <v>32</v>
      </c>
      <c r="J49" s="123">
        <v>1.8521081111735673E-8</v>
      </c>
    </row>
    <row r="50" spans="2:10" x14ac:dyDescent="0.3">
      <c r="B50" s="123">
        <v>17</v>
      </c>
      <c r="C50" s="131">
        <v>0.99099369976028573</v>
      </c>
      <c r="D50" s="131">
        <v>0.9941484951249816</v>
      </c>
      <c r="E50" s="131">
        <v>0.9970054084764256</v>
      </c>
      <c r="F50" s="131">
        <v>0.99722370304054442</v>
      </c>
      <c r="G50" s="131">
        <v>0.99722906457061677</v>
      </c>
      <c r="I50" s="136">
        <v>33</v>
      </c>
      <c r="J50" s="123">
        <v>0.83842362187272379</v>
      </c>
    </row>
    <row r="51" spans="2:10" x14ac:dyDescent="0.3">
      <c r="B51" s="123">
        <v>17.5</v>
      </c>
      <c r="C51" s="131">
        <v>0.99211021243931963</v>
      </c>
      <c r="D51" s="131">
        <v>0.99483276311242941</v>
      </c>
      <c r="E51" s="131">
        <v>0.99733447957066368</v>
      </c>
      <c r="F51" s="131">
        <v>0.997527241495197</v>
      </c>
      <c r="G51" s="131">
        <v>0.99753197876687827</v>
      </c>
      <c r="I51" s="136">
        <v>34</v>
      </c>
      <c r="J51" s="123">
        <v>0.85183667986512746</v>
      </c>
    </row>
    <row r="52" spans="2:10" x14ac:dyDescent="0.3">
      <c r="B52" s="123">
        <v>18</v>
      </c>
      <c r="C52" s="131">
        <v>0.99293420599956472</v>
      </c>
      <c r="D52" s="131">
        <v>0.99534364441315182</v>
      </c>
      <c r="E52" s="131">
        <v>0.99758315364018324</v>
      </c>
      <c r="F52" s="131">
        <v>0.99775683845252172</v>
      </c>
      <c r="G52" s="131">
        <v>0.99776110888405556</v>
      </c>
      <c r="I52" s="136">
        <v>35</v>
      </c>
      <c r="J52" s="123">
        <v>4.1666666458333326E-10</v>
      </c>
    </row>
    <row r="53" spans="2:10" x14ac:dyDescent="0.3">
      <c r="B53" s="123">
        <v>18.5</v>
      </c>
      <c r="C53" s="131">
        <v>0.99378806868051783</v>
      </c>
      <c r="D53" s="131">
        <v>0.99587792241823114</v>
      </c>
      <c r="E53" s="131">
        <v>0.9978456979301138</v>
      </c>
      <c r="F53" s="131">
        <v>0.99799942277528841</v>
      </c>
      <c r="G53" s="131">
        <v>0.99800320441717671</v>
      </c>
      <c r="I53" s="136">
        <v>36</v>
      </c>
      <c r="J53" s="123">
        <v>4.1666666458333326E-10</v>
      </c>
    </row>
    <row r="54" spans="2:10" x14ac:dyDescent="0.3">
      <c r="B54" s="123">
        <v>19</v>
      </c>
      <c r="C54" s="131">
        <v>0.99442126909398365</v>
      </c>
      <c r="D54" s="131">
        <v>0.99627823254156467</v>
      </c>
      <c r="E54" s="131">
        <v>0.99804450348506402</v>
      </c>
      <c r="F54" s="131">
        <v>0.99818326726395479</v>
      </c>
      <c r="G54" s="131">
        <v>0.99818668224513785</v>
      </c>
      <c r="I54" s="136">
        <v>37</v>
      </c>
      <c r="J54" s="123">
        <v>1.8521081111735673E-8</v>
      </c>
    </row>
    <row r="55" spans="2:10" x14ac:dyDescent="0.3">
      <c r="B55" s="123">
        <v>19.5</v>
      </c>
      <c r="C55" s="131">
        <v>0.99507998127415365</v>
      </c>
      <c r="D55" s="131">
        <v>0.99669806453705512</v>
      </c>
      <c r="E55" s="131">
        <v>0.99825474215991494</v>
      </c>
      <c r="F55" s="131">
        <v>0.99837781210680432</v>
      </c>
      <c r="G55" s="131">
        <v>0.99838084223128409</v>
      </c>
      <c r="I55" s="136">
        <v>38</v>
      </c>
      <c r="J55" s="123">
        <v>0.5772550612986489</v>
      </c>
    </row>
    <row r="56" spans="2:10" x14ac:dyDescent="0.3">
      <c r="B56" s="123">
        <v>20</v>
      </c>
      <c r="C56" s="131">
        <v>0.99557060591278956</v>
      </c>
      <c r="D56" s="131">
        <v>0.99701362072827571</v>
      </c>
      <c r="E56" s="131">
        <v>0.99841423061522883</v>
      </c>
      <c r="F56" s="131">
        <v>0.99852550326646117</v>
      </c>
      <c r="G56" s="131">
        <v>0.99852824388982631</v>
      </c>
      <c r="I56" s="136">
        <v>39</v>
      </c>
      <c r="J56" s="123">
        <v>4.1666666458333326E-10</v>
      </c>
    </row>
    <row r="57" spans="2:10" x14ac:dyDescent="0.3">
      <c r="B57" s="123">
        <v>20.5</v>
      </c>
      <c r="C57" s="131">
        <v>0.99608279292547042</v>
      </c>
      <c r="D57" s="131">
        <v>0.99734540137619732</v>
      </c>
      <c r="E57" s="131">
        <v>0.99858313747422844</v>
      </c>
      <c r="F57" s="131">
        <v>0.99868200633343007</v>
      </c>
      <c r="G57" s="131">
        <v>0.99868444240811927</v>
      </c>
      <c r="I57" s="136">
        <v>40</v>
      </c>
      <c r="J57" s="123">
        <v>4.1666666458333326E-10</v>
      </c>
    </row>
    <row r="58" spans="2:10" x14ac:dyDescent="0.3">
      <c r="B58" s="123">
        <v>21</v>
      </c>
      <c r="C58" s="131">
        <v>0.99646579138624791</v>
      </c>
      <c r="D58" s="131">
        <v>0.99759547943938587</v>
      </c>
      <c r="E58" s="131">
        <v>0.99871148028923085</v>
      </c>
      <c r="F58" s="131">
        <v>0.99880100078400014</v>
      </c>
      <c r="G58" s="131">
        <v>0.99880320719178095</v>
      </c>
      <c r="I58" s="136">
        <v>41</v>
      </c>
      <c r="J58" s="123">
        <v>0.64713715794337601</v>
      </c>
    </row>
    <row r="59" spans="2:10" x14ac:dyDescent="0.3">
      <c r="B59" s="123">
        <v>21.5</v>
      </c>
      <c r="C59" s="131">
        <v>0.99686688340457874</v>
      </c>
      <c r="D59" s="131">
        <v>0.99785900515121373</v>
      </c>
      <c r="E59" s="131">
        <v>0.99884757944320246</v>
      </c>
      <c r="F59" s="131">
        <v>0.99892725051457443</v>
      </c>
      <c r="G59" s="131">
        <v>0.99892921483152286</v>
      </c>
      <c r="I59" s="136">
        <v>42</v>
      </c>
      <c r="J59" s="123">
        <v>4.1666666458333326E-10</v>
      </c>
    </row>
    <row r="60" spans="2:10" x14ac:dyDescent="0.3">
      <c r="B60" s="123">
        <v>22</v>
      </c>
      <c r="C60" s="131">
        <v>0.99716787156391584</v>
      </c>
      <c r="D60" s="131">
        <v>0.99805813472914173</v>
      </c>
      <c r="E60" s="131">
        <v>0.99895114454826472</v>
      </c>
      <c r="F60" s="131">
        <v>0.99902337503911398</v>
      </c>
      <c r="G60" s="131">
        <v>0.99902515637672196</v>
      </c>
      <c r="I60" s="136">
        <v>43</v>
      </c>
      <c r="J60" s="123">
        <v>0.52112211656020346</v>
      </c>
    </row>
    <row r="61" spans="2:10" x14ac:dyDescent="0.3">
      <c r="B61" s="123">
        <v>22.5</v>
      </c>
      <c r="C61" s="131">
        <v>0.99748396561221087</v>
      </c>
      <c r="D61" s="131">
        <v>0.99826838959914588</v>
      </c>
      <c r="E61" s="131">
        <v>0.99906109651738739</v>
      </c>
      <c r="F61" s="131">
        <v>0.99912547298393339</v>
      </c>
      <c r="G61" s="131">
        <v>0.99912706109528926</v>
      </c>
      <c r="I61" s="136">
        <v>44</v>
      </c>
      <c r="J61" s="123">
        <v>0.79021427530032173</v>
      </c>
    </row>
    <row r="62" spans="2:10" x14ac:dyDescent="0.3">
      <c r="B62" s="123">
        <v>23</v>
      </c>
      <c r="C62" s="131">
        <v>0.99772191825450762</v>
      </c>
      <c r="D62" s="131">
        <v>0.99842761944401315</v>
      </c>
      <c r="E62" s="131">
        <v>0.99914487426625531</v>
      </c>
      <c r="F62" s="131">
        <v>0.99920330507902633</v>
      </c>
      <c r="G62" s="131">
        <v>0.99920474684726768</v>
      </c>
      <c r="I62" s="136">
        <v>45</v>
      </c>
      <c r="J62" s="123">
        <v>0.79093358622297671</v>
      </c>
    </row>
    <row r="63" spans="2:10" x14ac:dyDescent="0.3">
      <c r="B63" s="123">
        <v>23.5</v>
      </c>
      <c r="C63" s="131">
        <v>0.9979724366332221</v>
      </c>
      <c r="D63" s="131">
        <v>0.99859604136477054</v>
      </c>
      <c r="E63" s="131">
        <v>0.9992339112590598</v>
      </c>
      <c r="F63" s="131">
        <v>0.99928605554390004</v>
      </c>
      <c r="G63" s="131">
        <v>0.99928734252341145</v>
      </c>
      <c r="I63" s="136">
        <v>46</v>
      </c>
      <c r="J63" s="123">
        <v>4.1666666458333326E-10</v>
      </c>
    </row>
    <row r="64" spans="2:10" x14ac:dyDescent="0.3">
      <c r="B64" s="123">
        <v>24</v>
      </c>
      <c r="C64" s="131">
        <v>0.99816155172769117</v>
      </c>
      <c r="D64" s="131">
        <v>0.99872384171096729</v>
      </c>
      <c r="E64" s="131">
        <v>0.99930183233153647</v>
      </c>
      <c r="F64" s="131">
        <v>0.99934920863036192</v>
      </c>
      <c r="G64" s="131">
        <v>0.99935037816423045</v>
      </c>
      <c r="I64" s="136">
        <v>47</v>
      </c>
      <c r="J64" s="123">
        <v>4.1666666458333326E-10</v>
      </c>
    </row>
    <row r="65" spans="2:10" x14ac:dyDescent="0.3">
      <c r="B65" s="123">
        <v>24.5</v>
      </c>
      <c r="C65" s="131">
        <v>0.99836109207677193</v>
      </c>
      <c r="D65" s="131">
        <v>0.99885923007349908</v>
      </c>
      <c r="E65" s="131">
        <v>0.99937408449824439</v>
      </c>
      <c r="F65" s="131">
        <v>0.9994164119126201</v>
      </c>
      <c r="G65" s="131">
        <v>0.99941745704280405</v>
      </c>
      <c r="I65" s="136">
        <v>48</v>
      </c>
      <c r="J65" s="123">
        <v>4.1666666458333326E-10</v>
      </c>
    </row>
    <row r="66" spans="2:10" x14ac:dyDescent="0.3">
      <c r="B66" s="123">
        <v>25</v>
      </c>
      <c r="C66" s="131">
        <v>0.99851209532946261</v>
      </c>
      <c r="D66" s="131">
        <v>0.99896214314807219</v>
      </c>
      <c r="E66" s="131">
        <v>0.99942925921756143</v>
      </c>
      <c r="F66" s="131">
        <v>0.99946775088253526</v>
      </c>
      <c r="G66" s="131">
        <v>0.99946870146754396</v>
      </c>
      <c r="I66" s="136">
        <v>49</v>
      </c>
      <c r="J66" s="123">
        <v>2.9892998371141251E-8</v>
      </c>
    </row>
    <row r="67" spans="2:10" x14ac:dyDescent="0.3">
      <c r="B67" s="123">
        <v>25.5</v>
      </c>
      <c r="C67" s="131">
        <v>0.99867173149943711</v>
      </c>
      <c r="D67" s="131">
        <v>0.99907131633049295</v>
      </c>
      <c r="E67" s="131">
        <v>0.99948800117510195</v>
      </c>
      <c r="F67" s="131">
        <v>0.99952242568554661</v>
      </c>
      <c r="G67" s="131">
        <v>0.99952327599424362</v>
      </c>
      <c r="I67" s="136">
        <v>50</v>
      </c>
      <c r="J67" s="123">
        <v>4.1666666458333326E-10</v>
      </c>
    </row>
    <row r="68" spans="2:10" x14ac:dyDescent="0.3">
      <c r="I68" s="136">
        <v>51</v>
      </c>
      <c r="J68" s="123">
        <v>4.1666666458333326E-10</v>
      </c>
    </row>
    <row r="69" spans="2:10" x14ac:dyDescent="0.3">
      <c r="I69" s="136">
        <v>52</v>
      </c>
      <c r="J69" s="123">
        <v>4.1666666458333326E-10</v>
      </c>
    </row>
    <row r="70" spans="2:10" x14ac:dyDescent="0.3">
      <c r="I70" s="136">
        <v>53</v>
      </c>
      <c r="J70" s="123">
        <v>2.6418109565296227E-8</v>
      </c>
    </row>
    <row r="71" spans="2:10" x14ac:dyDescent="0.3">
      <c r="I71" s="136">
        <v>54</v>
      </c>
      <c r="J71" s="123">
        <v>0.85183667986512746</v>
      </c>
    </row>
    <row r="72" spans="2:10" x14ac:dyDescent="0.3">
      <c r="I72" s="136">
        <v>55</v>
      </c>
      <c r="J72" s="123">
        <v>4.1666666458333326E-10</v>
      </c>
    </row>
    <row r="73" spans="2:10" x14ac:dyDescent="0.3">
      <c r="I73" s="136">
        <v>56</v>
      </c>
      <c r="J73" s="123">
        <v>4.4522491100516732E-8</v>
      </c>
    </row>
    <row r="74" spans="2:10" x14ac:dyDescent="0.3">
      <c r="I74" s="136">
        <v>57</v>
      </c>
      <c r="J74" s="123">
        <v>0.7785286752782774</v>
      </c>
    </row>
    <row r="75" spans="2:10" x14ac:dyDescent="0.3">
      <c r="I75" s="136">
        <v>58</v>
      </c>
      <c r="J75" s="123">
        <v>1.8521081111735673E-8</v>
      </c>
    </row>
    <row r="76" spans="2:10" x14ac:dyDescent="0.3">
      <c r="I76" s="136">
        <v>59</v>
      </c>
      <c r="J76" s="123">
        <v>4.1666666458333326E-10</v>
      </c>
    </row>
    <row r="77" spans="2:10" x14ac:dyDescent="0.3">
      <c r="I77" s="136">
        <v>60</v>
      </c>
      <c r="J77" s="123">
        <v>0.66026398380982043</v>
      </c>
    </row>
    <row r="78" spans="2:10" x14ac:dyDescent="0.3">
      <c r="I78" s="136">
        <v>61</v>
      </c>
      <c r="J78" s="123">
        <v>0.77714997037756917</v>
      </c>
    </row>
    <row r="79" spans="2:10" x14ac:dyDescent="0.3">
      <c r="I79" s="136">
        <v>62</v>
      </c>
      <c r="J79" s="123">
        <v>4.1666666458333326E-10</v>
      </c>
    </row>
    <row r="80" spans="2:10" x14ac:dyDescent="0.3">
      <c r="I80" s="136">
        <v>63</v>
      </c>
      <c r="J80" s="123">
        <v>4.1666666458333326E-10</v>
      </c>
    </row>
    <row r="81" spans="9:10" x14ac:dyDescent="0.3">
      <c r="I81" s="136">
        <v>64</v>
      </c>
      <c r="J81" s="123">
        <v>1.8521081111735673E-8</v>
      </c>
    </row>
    <row r="82" spans="9:10" x14ac:dyDescent="0.3">
      <c r="I82" s="136">
        <v>65</v>
      </c>
      <c r="J82" s="123">
        <v>4.1666666458333326E-10</v>
      </c>
    </row>
    <row r="83" spans="9:10" x14ac:dyDescent="0.3">
      <c r="I83" s="136">
        <v>66</v>
      </c>
      <c r="J83" s="123">
        <v>2.6418084946033856E-8</v>
      </c>
    </row>
    <row r="84" spans="9:10" x14ac:dyDescent="0.3">
      <c r="I84" s="136">
        <v>67</v>
      </c>
      <c r="J84" s="123">
        <v>0.83842362187272379</v>
      </c>
    </row>
    <row r="85" spans="9:10" x14ac:dyDescent="0.3">
      <c r="I85" s="136">
        <v>68</v>
      </c>
      <c r="J85" s="123">
        <v>4.1666666458333326E-10</v>
      </c>
    </row>
    <row r="86" spans="9:10" x14ac:dyDescent="0.3">
      <c r="I86" s="136">
        <v>69</v>
      </c>
      <c r="J86" s="123">
        <v>4.1666666458333326E-10</v>
      </c>
    </row>
    <row r="87" spans="9:10" x14ac:dyDescent="0.3">
      <c r="I87" s="136">
        <v>70</v>
      </c>
      <c r="J87" s="123">
        <v>5.7453130842781722E-8</v>
      </c>
    </row>
    <row r="88" spans="9:10" x14ac:dyDescent="0.3">
      <c r="I88" s="136">
        <v>71</v>
      </c>
      <c r="J88" s="123">
        <v>1.8521081111735673E-8</v>
      </c>
    </row>
    <row r="89" spans="9:10" x14ac:dyDescent="0.3">
      <c r="I89" s="136">
        <v>72</v>
      </c>
      <c r="J89" s="123">
        <v>1.8521098289375911E-8</v>
      </c>
    </row>
    <row r="90" spans="9:10" x14ac:dyDescent="0.3">
      <c r="I90" s="136">
        <v>73</v>
      </c>
      <c r="J90" s="123">
        <v>0.85113554376596945</v>
      </c>
    </row>
    <row r="91" spans="9:10" x14ac:dyDescent="0.3">
      <c r="I91" s="136">
        <v>74</v>
      </c>
      <c r="J91" s="123">
        <v>0.8588572604049306</v>
      </c>
    </row>
    <row r="92" spans="9:10" x14ac:dyDescent="0.3">
      <c r="I92" s="136">
        <v>75</v>
      </c>
      <c r="J92" s="123">
        <v>4.1666666458333326E-10</v>
      </c>
    </row>
    <row r="93" spans="9:10" x14ac:dyDescent="0.3">
      <c r="I93" s="136">
        <v>76</v>
      </c>
      <c r="J93" s="123">
        <v>2.6418084946033856E-8</v>
      </c>
    </row>
    <row r="94" spans="9:10" x14ac:dyDescent="0.3">
      <c r="I94" s="136">
        <v>77</v>
      </c>
      <c r="J94" s="123">
        <v>0.72686819890305909</v>
      </c>
    </row>
    <row r="95" spans="9:10" x14ac:dyDescent="0.3">
      <c r="I95" s="136">
        <v>78</v>
      </c>
      <c r="J95" s="123">
        <v>4.1666666458333326E-10</v>
      </c>
    </row>
    <row r="96" spans="9:10" x14ac:dyDescent="0.3">
      <c r="I96" s="136">
        <v>79</v>
      </c>
      <c r="J96" s="123">
        <v>1.8521081111735673E-8</v>
      </c>
    </row>
    <row r="97" spans="9:10" x14ac:dyDescent="0.3">
      <c r="I97" s="136">
        <v>80</v>
      </c>
      <c r="J97" s="123">
        <v>1.8521081111735673E-8</v>
      </c>
    </row>
    <row r="98" spans="9:10" x14ac:dyDescent="0.3">
      <c r="I98" s="136">
        <v>81</v>
      </c>
      <c r="J98" s="123">
        <v>2.6418084946033856E-8</v>
      </c>
    </row>
    <row r="99" spans="9:10" x14ac:dyDescent="0.3">
      <c r="I99" s="136">
        <v>82</v>
      </c>
      <c r="J99" s="123">
        <v>0.85183614858245427</v>
      </c>
    </row>
    <row r="100" spans="9:10" x14ac:dyDescent="0.3">
      <c r="I100" s="136">
        <v>83</v>
      </c>
      <c r="J100" s="123">
        <v>2.6418084946033856E-8</v>
      </c>
    </row>
    <row r="101" spans="9:10" x14ac:dyDescent="0.3">
      <c r="I101" s="136">
        <v>84</v>
      </c>
      <c r="J101" s="123">
        <v>1.8521098289375911E-8</v>
      </c>
    </row>
    <row r="102" spans="9:10" x14ac:dyDescent="0.3">
      <c r="I102" s="136">
        <v>85</v>
      </c>
      <c r="J102" s="123">
        <v>4.1666666458333326E-10</v>
      </c>
    </row>
    <row r="103" spans="9:10" x14ac:dyDescent="0.3">
      <c r="I103" s="136">
        <v>86</v>
      </c>
      <c r="J103" s="123">
        <v>2.6418084946033856E-8</v>
      </c>
    </row>
    <row r="104" spans="9:10" x14ac:dyDescent="0.3">
      <c r="I104" s="136">
        <v>87</v>
      </c>
      <c r="J104" s="123">
        <v>2.6418084946033856E-8</v>
      </c>
    </row>
    <row r="105" spans="9:10" x14ac:dyDescent="0.3">
      <c r="I105" s="136">
        <v>88</v>
      </c>
      <c r="J105" s="123">
        <v>2.6418084946033856E-8</v>
      </c>
    </row>
    <row r="106" spans="9:10" x14ac:dyDescent="0.3">
      <c r="I106" s="136">
        <v>89</v>
      </c>
      <c r="J106" s="123">
        <v>2.9892970527791542E-8</v>
      </c>
    </row>
    <row r="107" spans="9:10" x14ac:dyDescent="0.3">
      <c r="I107" s="136">
        <v>90</v>
      </c>
      <c r="J107" s="123">
        <v>4.1666666458333326E-10</v>
      </c>
    </row>
    <row r="108" spans="9:10" x14ac:dyDescent="0.3">
      <c r="I108" s="136">
        <v>91</v>
      </c>
      <c r="J108" s="123">
        <v>4.1666666458333326E-10</v>
      </c>
    </row>
    <row r="109" spans="9:10" x14ac:dyDescent="0.3">
      <c r="I109" s="136">
        <v>92</v>
      </c>
      <c r="J109" s="123">
        <v>4.1666666458333326E-10</v>
      </c>
    </row>
    <row r="110" spans="9:10" x14ac:dyDescent="0.3">
      <c r="I110" s="136">
        <v>93</v>
      </c>
      <c r="J110" s="123">
        <v>2.9892970527791542E-8</v>
      </c>
    </row>
    <row r="111" spans="9:10" x14ac:dyDescent="0.3">
      <c r="I111" s="136">
        <v>94</v>
      </c>
      <c r="J111" s="123">
        <v>4.1666666458333326E-10</v>
      </c>
    </row>
    <row r="112" spans="9:10" x14ac:dyDescent="0.3">
      <c r="I112" s="136">
        <v>95</v>
      </c>
      <c r="J112" s="123">
        <v>4.1666666458333326E-10</v>
      </c>
    </row>
    <row r="113" spans="9:10" x14ac:dyDescent="0.3">
      <c r="I113" s="136">
        <v>96</v>
      </c>
      <c r="J113" s="123">
        <v>4.1666666458333326E-10</v>
      </c>
    </row>
    <row r="114" spans="9:10" x14ac:dyDescent="0.3">
      <c r="I114" s="136">
        <v>97</v>
      </c>
      <c r="J114" s="123">
        <v>4.1666666458333326E-10</v>
      </c>
    </row>
    <row r="115" spans="9:10" x14ac:dyDescent="0.3">
      <c r="I115" s="136">
        <v>98</v>
      </c>
      <c r="J115" s="123">
        <v>1.8521081111735673E-8</v>
      </c>
    </row>
    <row r="116" spans="9:10" x14ac:dyDescent="0.3">
      <c r="I116" s="136">
        <v>99</v>
      </c>
      <c r="J116" s="123">
        <v>4.1666666458333326E-10</v>
      </c>
    </row>
    <row r="117" spans="9:10" x14ac:dyDescent="0.3">
      <c r="I117" s="136">
        <v>100</v>
      </c>
      <c r="J117" s="123">
        <v>4.1666666458333326E-10</v>
      </c>
    </row>
  </sheetData>
  <sheetProtection selectLockedCells="1"/>
  <mergeCells count="13">
    <mergeCell ref="Q16:T16"/>
    <mergeCell ref="L16:O16"/>
    <mergeCell ref="I16:J16"/>
    <mergeCell ref="B16:G16"/>
    <mergeCell ref="C14:E14"/>
    <mergeCell ref="C6:F6"/>
    <mergeCell ref="C11:E11"/>
    <mergeCell ref="C12:E12"/>
    <mergeCell ref="C13:E13"/>
    <mergeCell ref="C7:E7"/>
    <mergeCell ref="C8:E8"/>
    <mergeCell ref="C9:E9"/>
    <mergeCell ref="C10:E10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Results_Button2_Click">
                <anchor>
                  <from>
                    <xdr:col>3</xdr:col>
                    <xdr:colOff>525780</xdr:colOff>
                    <xdr:row>1</xdr:row>
                    <xdr:rowOff>144780</xdr:rowOff>
                  </from>
                  <to>
                    <xdr:col>4</xdr:col>
                    <xdr:colOff>975360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Params"/>
  <dimension ref="B2:F21"/>
  <sheetViews>
    <sheetView workbookViewId="0">
      <selection activeCell="B10" sqref="B10:F10"/>
    </sheetView>
  </sheetViews>
  <sheetFormatPr defaultRowHeight="14.4" x14ac:dyDescent="0.3"/>
  <cols>
    <col min="2" max="2" width="11.33203125" customWidth="1"/>
    <col min="3" max="11" width="12.33203125" customWidth="1"/>
    <col min="12" max="12" width="12.6640625" customWidth="1"/>
  </cols>
  <sheetData>
    <row r="2" spans="2:6" x14ac:dyDescent="0.35">
      <c r="B2" s="47"/>
      <c r="C2" s="48"/>
      <c r="D2" s="48"/>
      <c r="E2" s="48"/>
      <c r="F2" s="49"/>
    </row>
    <row r="3" spans="2:6" x14ac:dyDescent="0.35">
      <c r="B3" s="50"/>
      <c r="C3" s="51"/>
      <c r="D3" s="51"/>
      <c r="E3" s="51"/>
      <c r="F3" s="52"/>
    </row>
    <row r="4" spans="2:6" x14ac:dyDescent="0.35">
      <c r="B4" s="50"/>
      <c r="C4" s="51"/>
      <c r="D4" s="51"/>
      <c r="E4" s="51"/>
      <c r="F4" s="52"/>
    </row>
    <row r="5" spans="2:6" x14ac:dyDescent="0.35">
      <c r="B5" s="50"/>
      <c r="C5" s="51"/>
      <c r="D5" s="51"/>
      <c r="E5" s="51"/>
      <c r="F5" s="52"/>
    </row>
    <row r="6" spans="2:6" x14ac:dyDescent="0.35">
      <c r="B6" s="50"/>
      <c r="C6" s="51"/>
      <c r="D6" s="51"/>
      <c r="E6" s="51"/>
      <c r="F6" s="52"/>
    </row>
    <row r="7" spans="2:6" x14ac:dyDescent="0.35">
      <c r="B7" s="50"/>
      <c r="C7" s="51"/>
      <c r="D7" s="51"/>
      <c r="E7" s="51"/>
      <c r="F7" s="52"/>
    </row>
    <row r="8" spans="2:6" x14ac:dyDescent="0.35">
      <c r="B8" s="53"/>
      <c r="C8" s="54"/>
      <c r="D8" s="54"/>
      <c r="E8" s="54"/>
      <c r="F8" s="55"/>
    </row>
    <row r="10" spans="2:6" ht="18.899999999999999" thickBot="1" x14ac:dyDescent="0.5">
      <c r="B10" s="218" t="s">
        <v>65</v>
      </c>
      <c r="C10" s="218"/>
      <c r="D10" s="218"/>
      <c r="E10" s="218"/>
      <c r="F10" s="218"/>
    </row>
    <row r="11" spans="2:6" s="45" customFormat="1" ht="20.25" customHeight="1" thickTop="1" x14ac:dyDescent="0.35">
      <c r="B11" s="44" t="s">
        <v>54</v>
      </c>
      <c r="C11" s="46" t="s">
        <v>43</v>
      </c>
      <c r="D11" s="46" t="s">
        <v>44</v>
      </c>
      <c r="E11" s="46" t="s">
        <v>45</v>
      </c>
      <c r="F11" s="46" t="s">
        <v>46</v>
      </c>
    </row>
    <row r="12" spans="2:6" ht="15" x14ac:dyDescent="0.25">
      <c r="B12" s="38" t="s">
        <v>59</v>
      </c>
      <c r="C12" s="58">
        <v>-7.1609999999999996</v>
      </c>
      <c r="D12" s="58">
        <v>-7.1609999999999996</v>
      </c>
      <c r="E12" s="58">
        <v>-7.1609999999999996</v>
      </c>
      <c r="F12" s="58">
        <v>-7.1609999999999996</v>
      </c>
    </row>
    <row r="13" spans="2:6" x14ac:dyDescent="0.35">
      <c r="B13" s="38" t="s">
        <v>60</v>
      </c>
      <c r="C13" s="60">
        <v>5.8700000000000002E-2</v>
      </c>
      <c r="D13" s="60">
        <v>5.8700000000000002E-2</v>
      </c>
      <c r="E13" s="60">
        <v>5.8700000000000002E-2</v>
      </c>
      <c r="F13" s="60">
        <v>5.8700000000000002E-2</v>
      </c>
    </row>
    <row r="14" spans="2:6" x14ac:dyDescent="0.35">
      <c r="B14" s="38" t="s">
        <v>61</v>
      </c>
      <c r="C14" s="59">
        <v>0.94799999999999995</v>
      </c>
      <c r="D14" s="59">
        <v>0.94799999999999995</v>
      </c>
      <c r="E14" s="59">
        <v>0.94799999999999995</v>
      </c>
      <c r="F14" s="59">
        <v>0.94799999999999995</v>
      </c>
    </row>
    <row r="15" spans="2:6" ht="15" x14ac:dyDescent="0.35">
      <c r="B15" s="38" t="s">
        <v>62</v>
      </c>
      <c r="C15" s="60">
        <v>1.1399999999999999</v>
      </c>
      <c r="D15" s="60">
        <v>1.1399999999999999</v>
      </c>
      <c r="E15" s="60">
        <v>1.1399999999999999</v>
      </c>
      <c r="F15" s="60">
        <v>1.1399999999999999</v>
      </c>
    </row>
    <row r="16" spans="2:6" ht="15" x14ac:dyDescent="0.25">
      <c r="B16" s="38" t="s">
        <v>63</v>
      </c>
      <c r="C16" s="59">
        <v>2</v>
      </c>
      <c r="D16" s="59">
        <v>2</v>
      </c>
      <c r="E16" s="59">
        <v>2</v>
      </c>
      <c r="F16" s="59">
        <v>2</v>
      </c>
    </row>
    <row r="17" spans="2:6" ht="15" x14ac:dyDescent="0.25">
      <c r="B17" s="38" t="s">
        <v>64</v>
      </c>
      <c r="C17" s="60">
        <v>3</v>
      </c>
      <c r="D17" s="60">
        <v>3</v>
      </c>
      <c r="E17" s="60">
        <v>3</v>
      </c>
      <c r="F17" s="60">
        <v>3</v>
      </c>
    </row>
    <row r="19" spans="2:6" ht="15" x14ac:dyDescent="0.25">
      <c r="C19" s="68"/>
      <c r="D19" s="68"/>
      <c r="E19" s="68"/>
    </row>
    <row r="20" spans="2:6" ht="15" x14ac:dyDescent="0.25">
      <c r="C20" s="68"/>
      <c r="D20" s="68"/>
      <c r="E20" s="68"/>
    </row>
    <row r="21" spans="2:6" ht="15" x14ac:dyDescent="0.25">
      <c r="C21" s="69"/>
      <c r="D21" s="69"/>
      <c r="E21" s="69"/>
    </row>
  </sheetData>
  <mergeCells count="1">
    <mergeCell ref="B10:F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DRParameters_Button1_Click">
                <anchor moveWithCells="1" sizeWithCells="1">
                  <from>
                    <xdr:col>2</xdr:col>
                    <xdr:colOff>175260</xdr:colOff>
                    <xdr:row>18</xdr:row>
                    <xdr:rowOff>152400</xdr:rowOff>
                  </from>
                  <to>
                    <xdr:col>4</xdr:col>
                    <xdr:colOff>655320</xdr:colOff>
                    <xdr:row>20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aultVal"/>
  <dimension ref="A2:J39"/>
  <sheetViews>
    <sheetView workbookViewId="0">
      <selection activeCell="E34" sqref="E34"/>
    </sheetView>
  </sheetViews>
  <sheetFormatPr defaultRowHeight="14.4" x14ac:dyDescent="0.3"/>
  <cols>
    <col min="1" max="1" width="24.33203125" customWidth="1"/>
    <col min="2" max="2" width="34.88671875" customWidth="1"/>
    <col min="3" max="4" width="13.5546875" customWidth="1"/>
    <col min="8" max="8" width="4.88671875" customWidth="1"/>
    <col min="9" max="9" width="12.5546875" customWidth="1"/>
    <col min="10" max="10" width="16.6640625" customWidth="1"/>
  </cols>
  <sheetData>
    <row r="2" spans="1:10" ht="18.75" customHeight="1" thickBot="1" x14ac:dyDescent="0.4">
      <c r="A2" s="221" t="s">
        <v>56</v>
      </c>
      <c r="B2" s="221"/>
      <c r="C2" s="221"/>
      <c r="E2" s="221" t="s">
        <v>69</v>
      </c>
      <c r="F2" s="221"/>
      <c r="G2" s="221"/>
      <c r="H2" s="221"/>
      <c r="I2" s="221"/>
      <c r="J2" s="221"/>
    </row>
    <row r="3" spans="1:10" ht="15" customHeight="1" thickTop="1" x14ac:dyDescent="0.25">
      <c r="A3" s="222" t="s">
        <v>32</v>
      </c>
      <c r="B3" s="222"/>
      <c r="C3" s="66">
        <v>100</v>
      </c>
      <c r="E3" s="224" t="s">
        <v>54</v>
      </c>
      <c r="F3" s="225"/>
      <c r="G3" s="225"/>
      <c r="H3" s="226"/>
      <c r="I3" s="73" t="s">
        <v>67</v>
      </c>
      <c r="J3" s="73" t="s">
        <v>68</v>
      </c>
    </row>
    <row r="4" spans="1:10" ht="15" customHeight="1" x14ac:dyDescent="0.25">
      <c r="A4" s="223" t="s">
        <v>1</v>
      </c>
      <c r="B4" s="223"/>
      <c r="C4" s="106">
        <v>25</v>
      </c>
      <c r="E4" s="227" t="s">
        <v>66</v>
      </c>
      <c r="F4" s="227"/>
      <c r="G4" s="227"/>
      <c r="H4" s="227"/>
      <c r="I4" s="71">
        <v>1</v>
      </c>
      <c r="J4" s="71">
        <v>0.05</v>
      </c>
    </row>
    <row r="5" spans="1:10" ht="15" customHeight="1" x14ac:dyDescent="0.25">
      <c r="A5" s="219" t="s">
        <v>37</v>
      </c>
      <c r="B5" s="219"/>
      <c r="C5" s="62">
        <v>1</v>
      </c>
      <c r="E5" s="220" t="s">
        <v>6</v>
      </c>
      <c r="F5" s="220"/>
      <c r="G5" s="220"/>
      <c r="H5" s="220"/>
      <c r="I5" s="72">
        <v>1</v>
      </c>
      <c r="J5" s="72">
        <v>0.05</v>
      </c>
    </row>
    <row r="6" spans="1:10" ht="15" customHeight="1" x14ac:dyDescent="0.25">
      <c r="A6" s="223" t="s">
        <v>2</v>
      </c>
      <c r="B6" s="223"/>
      <c r="C6" s="106">
        <v>4</v>
      </c>
      <c r="E6" s="220" t="s">
        <v>7</v>
      </c>
      <c r="F6" s="220"/>
      <c r="G6" s="220"/>
      <c r="H6" s="220"/>
      <c r="I6" s="74">
        <v>0</v>
      </c>
      <c r="J6" s="74">
        <v>5</v>
      </c>
    </row>
    <row r="7" spans="1:10" ht="15" x14ac:dyDescent="0.25">
      <c r="A7" s="219" t="s">
        <v>57</v>
      </c>
      <c r="B7" s="219"/>
      <c r="C7" s="62">
        <v>10000</v>
      </c>
    </row>
    <row r="8" spans="1:10" ht="15.75" customHeight="1" x14ac:dyDescent="0.25">
      <c r="A8" s="223" t="s">
        <v>36</v>
      </c>
      <c r="B8" s="223"/>
      <c r="C8" s="106">
        <v>0</v>
      </c>
    </row>
    <row r="9" spans="1:10" ht="15" x14ac:dyDescent="0.25">
      <c r="A9" s="219" t="s">
        <v>3</v>
      </c>
      <c r="B9" s="219"/>
      <c r="C9" s="62">
        <v>0</v>
      </c>
    </row>
    <row r="10" spans="1:10" x14ac:dyDescent="0.3">
      <c r="A10" s="228" t="s">
        <v>34</v>
      </c>
      <c r="B10" s="23" t="s">
        <v>33</v>
      </c>
      <c r="C10" s="107">
        <v>100</v>
      </c>
    </row>
    <row r="11" spans="1:10" ht="15" customHeight="1" x14ac:dyDescent="0.3">
      <c r="A11" s="229"/>
      <c r="B11" s="22" t="s">
        <v>80</v>
      </c>
      <c r="C11" s="85">
        <v>1E-8</v>
      </c>
    </row>
    <row r="12" spans="1:10" ht="15" customHeight="1" x14ac:dyDescent="0.3">
      <c r="A12" s="229"/>
      <c r="B12" s="23" t="s">
        <v>81</v>
      </c>
      <c r="C12" s="109">
        <v>0</v>
      </c>
    </row>
    <row r="13" spans="1:10" ht="15" customHeight="1" x14ac:dyDescent="0.3">
      <c r="A13" s="229"/>
      <c r="B13" s="23" t="s">
        <v>82</v>
      </c>
      <c r="C13" s="110">
        <v>0</v>
      </c>
    </row>
    <row r="14" spans="1:10" ht="15" customHeight="1" x14ac:dyDescent="0.3">
      <c r="A14" s="222"/>
      <c r="B14" s="23" t="s">
        <v>83</v>
      </c>
      <c r="C14" s="108">
        <v>0</v>
      </c>
    </row>
    <row r="15" spans="1:10" ht="15" customHeight="1" x14ac:dyDescent="0.3">
      <c r="A15" s="228" t="s">
        <v>35</v>
      </c>
      <c r="B15" s="22" t="s">
        <v>33</v>
      </c>
      <c r="C15" s="105">
        <v>100</v>
      </c>
    </row>
    <row r="16" spans="1:10" ht="15" customHeight="1" x14ac:dyDescent="0.3">
      <c r="A16" s="229"/>
      <c r="B16" s="22" t="s">
        <v>80</v>
      </c>
      <c r="C16" s="108">
        <v>1E-8</v>
      </c>
    </row>
    <row r="17" spans="1:3" ht="15" customHeight="1" x14ac:dyDescent="0.3">
      <c r="A17" s="229"/>
      <c r="B17" s="23" t="s">
        <v>81</v>
      </c>
      <c r="C17" s="85">
        <v>0</v>
      </c>
    </row>
    <row r="18" spans="1:3" ht="15" customHeight="1" x14ac:dyDescent="0.3">
      <c r="A18" s="229"/>
      <c r="B18" s="23" t="s">
        <v>82</v>
      </c>
      <c r="C18" s="108">
        <v>0</v>
      </c>
    </row>
    <row r="19" spans="1:3" ht="15" customHeight="1" x14ac:dyDescent="0.3">
      <c r="A19" s="222"/>
      <c r="B19" s="23" t="s">
        <v>83</v>
      </c>
      <c r="C19" s="85">
        <v>0</v>
      </c>
    </row>
    <row r="20" spans="1:3" ht="15" customHeight="1" x14ac:dyDescent="0.25">
      <c r="A20" s="219" t="s">
        <v>40</v>
      </c>
      <c r="B20" s="219"/>
      <c r="C20" s="107">
        <v>0.05</v>
      </c>
    </row>
    <row r="21" spans="1:3" ht="15" customHeight="1" x14ac:dyDescent="0.25">
      <c r="A21" s="223" t="s">
        <v>48</v>
      </c>
      <c r="B21" s="223"/>
      <c r="C21" s="105">
        <v>0.5</v>
      </c>
    </row>
    <row r="22" spans="1:3" ht="15" customHeight="1" x14ac:dyDescent="0.25">
      <c r="A22" s="219" t="s">
        <v>49</v>
      </c>
      <c r="B22" s="219"/>
      <c r="C22" s="107">
        <v>0.99</v>
      </c>
    </row>
    <row r="23" spans="1:3" ht="15" customHeight="1" x14ac:dyDescent="0.25">
      <c r="A23" s="67" t="s">
        <v>9</v>
      </c>
      <c r="B23" s="63" t="s">
        <v>5</v>
      </c>
      <c r="C23" s="64">
        <v>0.05</v>
      </c>
    </row>
    <row r="24" spans="1:3" ht="15" customHeight="1" x14ac:dyDescent="0.3">
      <c r="A24" s="233" t="s">
        <v>10</v>
      </c>
      <c r="B24" s="63" t="s">
        <v>55</v>
      </c>
      <c r="C24" s="103">
        <v>6.7000000000000004E-2</v>
      </c>
    </row>
    <row r="25" spans="1:3" ht="15" customHeight="1" x14ac:dyDescent="0.3">
      <c r="A25" s="233"/>
      <c r="B25" s="63" t="s">
        <v>8</v>
      </c>
      <c r="C25" s="64">
        <f>0.067/5</f>
        <v>1.34E-2</v>
      </c>
    </row>
    <row r="26" spans="1:3" ht="15" customHeight="1" x14ac:dyDescent="0.3">
      <c r="A26" s="233" t="s">
        <v>11</v>
      </c>
      <c r="B26" s="65" t="s">
        <v>55</v>
      </c>
      <c r="C26" s="106">
        <v>613000</v>
      </c>
    </row>
    <row r="27" spans="1:3" ht="15" customHeight="1" x14ac:dyDescent="0.3">
      <c r="A27" s="233"/>
      <c r="B27" s="63" t="s">
        <v>7</v>
      </c>
      <c r="C27" s="64">
        <v>7.7729999999999997</v>
      </c>
    </row>
    <row r="28" spans="1:3" ht="15" customHeight="1" x14ac:dyDescent="0.3">
      <c r="A28" s="233"/>
      <c r="B28" s="65" t="s">
        <v>8</v>
      </c>
      <c r="C28" s="104">
        <v>0.72299999999999998</v>
      </c>
    </row>
    <row r="29" spans="1:3" ht="15" customHeight="1" x14ac:dyDescent="0.25">
      <c r="A29" s="82" t="s">
        <v>16</v>
      </c>
      <c r="B29" s="65" t="s">
        <v>15</v>
      </c>
      <c r="C29" s="102">
        <v>0.45</v>
      </c>
    </row>
    <row r="30" spans="1:3" ht="15" customHeight="1" x14ac:dyDescent="0.3">
      <c r="A30" s="230" t="s">
        <v>17</v>
      </c>
      <c r="B30" s="63" t="s">
        <v>75</v>
      </c>
      <c r="C30" s="103">
        <v>0.7</v>
      </c>
    </row>
    <row r="31" spans="1:3" ht="15" customHeight="1" x14ac:dyDescent="0.3">
      <c r="A31" s="231"/>
      <c r="B31" s="63" t="s">
        <v>76</v>
      </c>
      <c r="C31" s="102">
        <v>0.5</v>
      </c>
    </row>
    <row r="32" spans="1:3" ht="15" customHeight="1" x14ac:dyDescent="0.3">
      <c r="A32" s="230" t="s">
        <v>12</v>
      </c>
      <c r="B32" s="65" t="s">
        <v>88</v>
      </c>
      <c r="C32" s="104">
        <v>0</v>
      </c>
    </row>
    <row r="33" spans="1:3" ht="15" customHeight="1" x14ac:dyDescent="0.3">
      <c r="A33" s="232"/>
      <c r="B33" s="63" t="s">
        <v>89</v>
      </c>
      <c r="C33" s="64">
        <v>0</v>
      </c>
    </row>
    <row r="34" spans="1:3" ht="15" customHeight="1" x14ac:dyDescent="0.3">
      <c r="A34" s="232"/>
      <c r="B34" s="65" t="s">
        <v>90</v>
      </c>
      <c r="C34" s="104">
        <v>0</v>
      </c>
    </row>
    <row r="35" spans="1:3" ht="15" customHeight="1" x14ac:dyDescent="0.3">
      <c r="A35" s="232"/>
      <c r="B35" s="63" t="s">
        <v>91</v>
      </c>
      <c r="C35" s="64">
        <v>0</v>
      </c>
    </row>
    <row r="36" spans="1:3" ht="15" customHeight="1" x14ac:dyDescent="0.3">
      <c r="A36" s="232"/>
      <c r="B36" s="65" t="s">
        <v>92</v>
      </c>
      <c r="C36" s="104">
        <v>0</v>
      </c>
    </row>
    <row r="37" spans="1:3" x14ac:dyDescent="0.3">
      <c r="A37" s="232"/>
      <c r="B37" s="63" t="s">
        <v>93</v>
      </c>
      <c r="C37" s="64">
        <v>0</v>
      </c>
    </row>
    <row r="38" spans="1:3" x14ac:dyDescent="0.3">
      <c r="A38" s="232"/>
      <c r="B38" s="65" t="s">
        <v>94</v>
      </c>
      <c r="C38" s="104">
        <v>0</v>
      </c>
    </row>
    <row r="39" spans="1:3" x14ac:dyDescent="0.3">
      <c r="A39" s="232"/>
      <c r="B39" s="63" t="s">
        <v>95</v>
      </c>
      <c r="C39" s="64">
        <v>0</v>
      </c>
    </row>
  </sheetData>
  <mergeCells count="22">
    <mergeCell ref="A10:A14"/>
    <mergeCell ref="A15:A19"/>
    <mergeCell ref="A30:A31"/>
    <mergeCell ref="A32:A39"/>
    <mergeCell ref="A24:A25"/>
    <mergeCell ref="A26:A28"/>
    <mergeCell ref="A20:B20"/>
    <mergeCell ref="A21:B21"/>
    <mergeCell ref="A22:B22"/>
    <mergeCell ref="A9:B9"/>
    <mergeCell ref="E5:H5"/>
    <mergeCell ref="E6:H6"/>
    <mergeCell ref="A2:C2"/>
    <mergeCell ref="A3:B3"/>
    <mergeCell ref="A4:B4"/>
    <mergeCell ref="A5:B5"/>
    <mergeCell ref="A6:B6"/>
    <mergeCell ref="E2:J2"/>
    <mergeCell ref="E3:H3"/>
    <mergeCell ref="E4:H4"/>
    <mergeCell ref="A7:B7"/>
    <mergeCell ref="A8:B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Menu</vt:lpstr>
      <vt:lpstr>Management Practices</vt:lpstr>
      <vt:lpstr>Herbicide Parameters</vt:lpstr>
      <vt:lpstr>Main Parameters</vt:lpstr>
      <vt:lpstr>Database</vt:lpstr>
      <vt:lpstr>Results</vt:lpstr>
      <vt:lpstr>Dose-Response Parameters</vt:lpstr>
      <vt:lpstr>Default Parameter Values</vt:lpstr>
      <vt:lpstr>Resistance Curves</vt:lpstr>
      <vt:lpstr>Resistance Probability</vt:lpstr>
      <vt:lpstr>Risk Histogram</vt:lpstr>
      <vt:lpstr>Time2Resistance</vt:lpstr>
    </vt:vector>
  </TitlesOfParts>
  <Company>The Dow Chemical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Tara, Negron Santiago (N)</dc:creator>
  <cp:lastModifiedBy>Altieri, Anthony (A)</cp:lastModifiedBy>
  <dcterms:created xsi:type="dcterms:W3CDTF">2015-06-17T17:01:04Z</dcterms:created>
  <dcterms:modified xsi:type="dcterms:W3CDTF">2015-10-08T14:34:11Z</dcterms:modified>
</cp:coreProperties>
</file>